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CF_AutoCapsule_disabled\呉\"/>
    </mc:Choice>
  </mc:AlternateContent>
  <bookViews>
    <workbookView xWindow="0" yWindow="0" windowWidth="22275" windowHeight="10200"/>
  </bookViews>
  <sheets>
    <sheet name="作業報告書" sheetId="12" r:id="rId1"/>
    <sheet name="見本" sheetId="15" r:id="rId2"/>
    <sheet name="祝日" sheetId="14" state="hidden" r:id="rId3"/>
    <sheet name="Sheet1" sheetId="13" state="hidden" r:id="rId4"/>
  </sheets>
  <definedNames>
    <definedName name="_xlnm._FilterDatabase" localSheetId="1" hidden="1">見本!$B$9:$N$43</definedName>
    <definedName name="_xlnm._FilterDatabase" localSheetId="0" hidden="1">作業報告書!$B$10:$O$44</definedName>
    <definedName name="_xlnm.Print_Area" localSheetId="1">見本!$A$1:$Z$48</definedName>
    <definedName name="_xlnm.Print_Area" localSheetId="0">作業報告書!$A$1:$W$56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1" i="15" l="1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13" i="15"/>
  <c r="I12" i="15"/>
  <c r="I11" i="15"/>
  <c r="I43" i="15" l="1"/>
  <c r="G43" i="15"/>
  <c r="F43" i="15"/>
  <c r="E43" i="15"/>
  <c r="S12" i="12"/>
  <c r="H40" i="12" l="1"/>
  <c r="I40" i="12" s="1"/>
  <c r="J40" i="12" s="1"/>
  <c r="H41" i="12"/>
  <c r="I41" i="12" s="1"/>
  <c r="J41" i="12" s="1"/>
  <c r="H42" i="12"/>
  <c r="I42" i="12" s="1"/>
  <c r="J42" i="12" s="1"/>
  <c r="M43" i="15" l="1"/>
  <c r="M44" i="12"/>
  <c r="W41" i="15" l="1"/>
  <c r="V41" i="15"/>
  <c r="U41" i="15"/>
  <c r="T41" i="15"/>
  <c r="S41" i="15"/>
  <c r="Q41" i="15"/>
  <c r="H41" i="15"/>
  <c r="W40" i="15"/>
  <c r="V40" i="15"/>
  <c r="U40" i="15"/>
  <c r="T40" i="15"/>
  <c r="S40" i="15"/>
  <c r="Q40" i="15"/>
  <c r="W39" i="15"/>
  <c r="V39" i="15"/>
  <c r="U39" i="15"/>
  <c r="T39" i="15"/>
  <c r="S39" i="15"/>
  <c r="Q39" i="15"/>
  <c r="W38" i="15"/>
  <c r="V38" i="15"/>
  <c r="U38" i="15"/>
  <c r="T38" i="15"/>
  <c r="S38" i="15"/>
  <c r="Q38" i="15"/>
  <c r="H38" i="15"/>
  <c r="W37" i="15"/>
  <c r="V37" i="15"/>
  <c r="U37" i="15"/>
  <c r="T37" i="15"/>
  <c r="S37" i="15"/>
  <c r="Q37" i="15"/>
  <c r="H37" i="15"/>
  <c r="W36" i="15"/>
  <c r="V36" i="15"/>
  <c r="U36" i="15"/>
  <c r="T36" i="15"/>
  <c r="S36" i="15"/>
  <c r="Q36" i="15"/>
  <c r="H36" i="15"/>
  <c r="W35" i="15"/>
  <c r="V35" i="15"/>
  <c r="U35" i="15"/>
  <c r="T35" i="15"/>
  <c r="S35" i="15"/>
  <c r="Q35" i="15"/>
  <c r="H35" i="15"/>
  <c r="W34" i="15"/>
  <c r="V34" i="15"/>
  <c r="U34" i="15"/>
  <c r="T34" i="15"/>
  <c r="S34" i="15"/>
  <c r="Q34" i="15"/>
  <c r="H34" i="15"/>
  <c r="W33" i="15"/>
  <c r="V33" i="15"/>
  <c r="U33" i="15"/>
  <c r="T33" i="15"/>
  <c r="S33" i="15"/>
  <c r="Q33" i="15"/>
  <c r="H33" i="15"/>
  <c r="W32" i="15"/>
  <c r="V32" i="15"/>
  <c r="U32" i="15"/>
  <c r="T32" i="15"/>
  <c r="S32" i="15"/>
  <c r="Q32" i="15"/>
  <c r="H32" i="15"/>
  <c r="W31" i="15"/>
  <c r="V31" i="15"/>
  <c r="U31" i="15"/>
  <c r="T31" i="15"/>
  <c r="S31" i="15"/>
  <c r="Q31" i="15"/>
  <c r="H31" i="15"/>
  <c r="W30" i="15"/>
  <c r="V30" i="15"/>
  <c r="U30" i="15"/>
  <c r="T30" i="15"/>
  <c r="S30" i="15"/>
  <c r="Q30" i="15"/>
  <c r="H30" i="15"/>
  <c r="W29" i="15"/>
  <c r="V29" i="15"/>
  <c r="U29" i="15"/>
  <c r="T29" i="15"/>
  <c r="S29" i="15"/>
  <c r="Q29" i="15"/>
  <c r="H29" i="15"/>
  <c r="W28" i="15"/>
  <c r="V28" i="15"/>
  <c r="U28" i="15"/>
  <c r="T28" i="15"/>
  <c r="S28" i="15"/>
  <c r="Q28" i="15"/>
  <c r="H28" i="15"/>
  <c r="W27" i="15"/>
  <c r="V27" i="15"/>
  <c r="U27" i="15"/>
  <c r="T27" i="15"/>
  <c r="S27" i="15"/>
  <c r="Q27" i="15"/>
  <c r="H27" i="15"/>
  <c r="W26" i="15"/>
  <c r="V26" i="15"/>
  <c r="U26" i="15"/>
  <c r="T26" i="15"/>
  <c r="S26" i="15"/>
  <c r="Q26" i="15"/>
  <c r="H26" i="15"/>
  <c r="W25" i="15"/>
  <c r="V25" i="15"/>
  <c r="U25" i="15"/>
  <c r="T25" i="15"/>
  <c r="S25" i="15"/>
  <c r="Q25" i="15"/>
  <c r="H25" i="15"/>
  <c r="W24" i="15"/>
  <c r="V24" i="15"/>
  <c r="U24" i="15"/>
  <c r="T24" i="15"/>
  <c r="S24" i="15"/>
  <c r="Q24" i="15"/>
  <c r="H24" i="15"/>
  <c r="W23" i="15"/>
  <c r="V23" i="15"/>
  <c r="U23" i="15"/>
  <c r="T23" i="15"/>
  <c r="S23" i="15"/>
  <c r="Q23" i="15"/>
  <c r="H23" i="15"/>
  <c r="W22" i="15"/>
  <c r="V22" i="15"/>
  <c r="U22" i="15"/>
  <c r="T22" i="15"/>
  <c r="S22" i="15"/>
  <c r="Q22" i="15"/>
  <c r="H22" i="15"/>
  <c r="W21" i="15"/>
  <c r="V21" i="15"/>
  <c r="U21" i="15"/>
  <c r="T21" i="15"/>
  <c r="S21" i="15"/>
  <c r="Q21" i="15"/>
  <c r="H21" i="15"/>
  <c r="W20" i="15"/>
  <c r="V20" i="15"/>
  <c r="U20" i="15"/>
  <c r="T20" i="15"/>
  <c r="S20" i="15"/>
  <c r="Q20" i="15"/>
  <c r="H20" i="15"/>
  <c r="W19" i="15"/>
  <c r="V19" i="15"/>
  <c r="U19" i="15"/>
  <c r="T19" i="15"/>
  <c r="S19" i="15"/>
  <c r="Q19" i="15"/>
  <c r="H19" i="15"/>
  <c r="W18" i="15"/>
  <c r="V18" i="15"/>
  <c r="U18" i="15"/>
  <c r="T18" i="15"/>
  <c r="S18" i="15"/>
  <c r="Q18" i="15"/>
  <c r="H18" i="15"/>
  <c r="W17" i="15"/>
  <c r="V17" i="15"/>
  <c r="U17" i="15"/>
  <c r="T17" i="15"/>
  <c r="S17" i="15"/>
  <c r="Q17" i="15"/>
  <c r="H17" i="15"/>
  <c r="W16" i="15"/>
  <c r="V16" i="15"/>
  <c r="U16" i="15"/>
  <c r="T16" i="15"/>
  <c r="S16" i="15"/>
  <c r="Q16" i="15"/>
  <c r="H16" i="15"/>
  <c r="W15" i="15"/>
  <c r="V15" i="15"/>
  <c r="U15" i="15"/>
  <c r="T15" i="15"/>
  <c r="S15" i="15"/>
  <c r="Q15" i="15"/>
  <c r="H15" i="15"/>
  <c r="W14" i="15"/>
  <c r="V14" i="15"/>
  <c r="U14" i="15"/>
  <c r="T14" i="15"/>
  <c r="S14" i="15"/>
  <c r="Q14" i="15"/>
  <c r="H14" i="15"/>
  <c r="W13" i="15"/>
  <c r="V13" i="15"/>
  <c r="U13" i="15"/>
  <c r="T13" i="15"/>
  <c r="S13" i="15"/>
  <c r="Q13" i="15"/>
  <c r="H13" i="15"/>
  <c r="W12" i="15"/>
  <c r="V12" i="15"/>
  <c r="U12" i="15"/>
  <c r="T12" i="15"/>
  <c r="S12" i="15"/>
  <c r="Q12" i="15"/>
  <c r="H12" i="15"/>
  <c r="W11" i="15"/>
  <c r="V11" i="15"/>
  <c r="U11" i="15"/>
  <c r="T11" i="15"/>
  <c r="S11" i="15"/>
  <c r="Q11" i="15"/>
  <c r="H11" i="15"/>
  <c r="B11" i="15"/>
  <c r="D11" i="15" s="1"/>
  <c r="N43" i="15" l="1"/>
  <c r="B43" i="15"/>
  <c r="V42" i="15"/>
  <c r="T42" i="15"/>
  <c r="L43" i="15" s="1"/>
  <c r="U42" i="15"/>
  <c r="R42" i="15"/>
  <c r="S42" i="15"/>
  <c r="C11" i="15"/>
  <c r="R11" i="15" s="1"/>
  <c r="B12" i="15"/>
  <c r="K43" i="15" l="1"/>
  <c r="D12" i="15"/>
  <c r="B13" i="15"/>
  <c r="C12" i="15"/>
  <c r="R12" i="15" s="1"/>
  <c r="B14" i="15" l="1"/>
  <c r="C13" i="15"/>
  <c r="D13" i="15"/>
  <c r="H21" i="12"/>
  <c r="I21" i="12" s="1"/>
  <c r="J21" i="12" s="1"/>
  <c r="R13" i="15" l="1"/>
  <c r="B15" i="15"/>
  <c r="C14" i="15"/>
  <c r="D14" i="15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2" i="12"/>
  <c r="I22" i="12" s="1"/>
  <c r="J22" i="12" s="1"/>
  <c r="H23" i="12"/>
  <c r="I23" i="12" s="1"/>
  <c r="J23" i="12" s="1"/>
  <c r="H24" i="12"/>
  <c r="I24" i="12" s="1"/>
  <c r="J24" i="12" s="1"/>
  <c r="H25" i="12"/>
  <c r="I25" i="12" s="1"/>
  <c r="J25" i="12" s="1"/>
  <c r="H26" i="12"/>
  <c r="I26" i="12" s="1"/>
  <c r="J26" i="12" s="1"/>
  <c r="H27" i="12"/>
  <c r="I27" i="12" s="1"/>
  <c r="J27" i="12" s="1"/>
  <c r="H28" i="12"/>
  <c r="I28" i="12" s="1"/>
  <c r="J28" i="12" s="1"/>
  <c r="H29" i="12"/>
  <c r="I29" i="12" s="1"/>
  <c r="J29" i="12" s="1"/>
  <c r="H30" i="12"/>
  <c r="I30" i="12" s="1"/>
  <c r="J30" i="12" s="1"/>
  <c r="H31" i="12"/>
  <c r="I31" i="12" s="1"/>
  <c r="J31" i="12" s="1"/>
  <c r="H32" i="12"/>
  <c r="I32" i="12" s="1"/>
  <c r="J32" i="12" s="1"/>
  <c r="H33" i="12"/>
  <c r="I33" i="12" s="1"/>
  <c r="J33" i="12" s="1"/>
  <c r="H34" i="12"/>
  <c r="I34" i="12" s="1"/>
  <c r="J34" i="12" s="1"/>
  <c r="H35" i="12"/>
  <c r="I35" i="12" s="1"/>
  <c r="J35" i="12" s="1"/>
  <c r="H36" i="12"/>
  <c r="I36" i="12" s="1"/>
  <c r="J36" i="12" s="1"/>
  <c r="H37" i="12"/>
  <c r="I37" i="12" s="1"/>
  <c r="J37" i="12" s="1"/>
  <c r="H38" i="12"/>
  <c r="I38" i="12" s="1"/>
  <c r="J38" i="12" s="1"/>
  <c r="H39" i="12"/>
  <c r="I39" i="12" s="1"/>
  <c r="J39" i="12" s="1"/>
  <c r="H12" i="12"/>
  <c r="I12" i="12" s="1"/>
  <c r="J12" i="12" s="1"/>
  <c r="R14" i="15" l="1"/>
  <c r="C15" i="15"/>
  <c r="D15" i="15"/>
  <c r="B16" i="15"/>
  <c r="B12" i="12"/>
  <c r="D12" i="12" s="1"/>
  <c r="R15" i="15" l="1"/>
  <c r="D16" i="15"/>
  <c r="B17" i="15"/>
  <c r="C16" i="15"/>
  <c r="C12" i="12"/>
  <c r="B13" i="12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V42" i="12"/>
  <c r="U42" i="12"/>
  <c r="V41" i="12"/>
  <c r="U41" i="12"/>
  <c r="V40" i="12"/>
  <c r="U40" i="12"/>
  <c r="V39" i="12"/>
  <c r="U39" i="12"/>
  <c r="V38" i="12"/>
  <c r="U38" i="12"/>
  <c r="V37" i="12"/>
  <c r="U37" i="12"/>
  <c r="V36" i="12"/>
  <c r="U36" i="12"/>
  <c r="V35" i="12"/>
  <c r="U35" i="12"/>
  <c r="V34" i="12"/>
  <c r="U34" i="12"/>
  <c r="V33" i="12"/>
  <c r="U33" i="12"/>
  <c r="V32" i="12"/>
  <c r="U32" i="12"/>
  <c r="V31" i="12"/>
  <c r="U31" i="12"/>
  <c r="V30" i="12"/>
  <c r="U30" i="12"/>
  <c r="V29" i="12"/>
  <c r="U29" i="12"/>
  <c r="V28" i="12"/>
  <c r="U28" i="12"/>
  <c r="V27" i="12"/>
  <c r="U27" i="12"/>
  <c r="V26" i="12"/>
  <c r="U26" i="12"/>
  <c r="V25" i="12"/>
  <c r="U25" i="12"/>
  <c r="V24" i="12"/>
  <c r="U24" i="12"/>
  <c r="V23" i="12"/>
  <c r="U23" i="12"/>
  <c r="V22" i="12"/>
  <c r="U22" i="12"/>
  <c r="V21" i="12"/>
  <c r="U21" i="12"/>
  <c r="V20" i="12"/>
  <c r="U20" i="12"/>
  <c r="V19" i="12"/>
  <c r="U19" i="12"/>
  <c r="V18" i="12"/>
  <c r="U18" i="12"/>
  <c r="V17" i="12"/>
  <c r="U17" i="12"/>
  <c r="V16" i="12"/>
  <c r="U16" i="12"/>
  <c r="V15" i="12"/>
  <c r="U15" i="12"/>
  <c r="V14" i="12"/>
  <c r="U14" i="12"/>
  <c r="V13" i="12"/>
  <c r="U13" i="12"/>
  <c r="V12" i="12"/>
  <c r="U12" i="12"/>
  <c r="T42" i="12"/>
  <c r="T41" i="12"/>
  <c r="T40" i="12"/>
  <c r="T39" i="12"/>
  <c r="T38" i="12"/>
  <c r="T37" i="12"/>
  <c r="T36" i="12"/>
  <c r="T35" i="12"/>
  <c r="T34" i="12"/>
  <c r="T33" i="12"/>
  <c r="T32" i="12"/>
  <c r="T31" i="12"/>
  <c r="T30" i="12"/>
  <c r="T29" i="12"/>
  <c r="T28" i="12"/>
  <c r="T27" i="12"/>
  <c r="T26" i="12"/>
  <c r="T25" i="12"/>
  <c r="T24" i="12"/>
  <c r="T23" i="12"/>
  <c r="T22" i="12"/>
  <c r="T21" i="12"/>
  <c r="T20" i="12"/>
  <c r="T19" i="12"/>
  <c r="T18" i="12"/>
  <c r="T17" i="12"/>
  <c r="T16" i="12"/>
  <c r="T15" i="12"/>
  <c r="T14" i="12"/>
  <c r="T13" i="12"/>
  <c r="T12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R16" i="15" l="1"/>
  <c r="R12" i="12"/>
  <c r="S43" i="12"/>
  <c r="R43" i="12"/>
  <c r="U43" i="12"/>
  <c r="T43" i="12"/>
  <c r="B18" i="15"/>
  <c r="C17" i="15"/>
  <c r="D17" i="15"/>
  <c r="C13" i="12"/>
  <c r="D13" i="12"/>
  <c r="D14" i="12"/>
  <c r="C14" i="12"/>
  <c r="D15" i="12"/>
  <c r="N44" i="12"/>
  <c r="R17" i="15" l="1"/>
  <c r="R14" i="12"/>
  <c r="R13" i="12"/>
  <c r="K44" i="12"/>
  <c r="L44" i="12"/>
  <c r="B19" i="15"/>
  <c r="D18" i="15"/>
  <c r="C18" i="15"/>
  <c r="C15" i="12"/>
  <c r="D16" i="12"/>
  <c r="C16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R18" i="15" l="1"/>
  <c r="R15" i="12"/>
  <c r="R16" i="12"/>
  <c r="B44" i="12"/>
  <c r="D19" i="15"/>
  <c r="B20" i="15"/>
  <c r="C19" i="15"/>
  <c r="D17" i="12"/>
  <c r="R19" i="15" l="1"/>
  <c r="D20" i="15"/>
  <c r="B21" i="15"/>
  <c r="C20" i="15"/>
  <c r="C17" i="12"/>
  <c r="D18" i="12"/>
  <c r="C18" i="12"/>
  <c r="R20" i="15" l="1"/>
  <c r="R18" i="12"/>
  <c r="R17" i="12"/>
  <c r="B22" i="15"/>
  <c r="C21" i="15"/>
  <c r="D21" i="15"/>
  <c r="D19" i="12"/>
  <c r="R21" i="15" l="1"/>
  <c r="B23" i="15"/>
  <c r="C22" i="15"/>
  <c r="D22" i="15"/>
  <c r="C19" i="12"/>
  <c r="D20" i="12"/>
  <c r="R22" i="15" l="1"/>
  <c r="R19" i="12"/>
  <c r="D23" i="15"/>
  <c r="B24" i="15"/>
  <c r="C23" i="15"/>
  <c r="C20" i="12"/>
  <c r="D21" i="12"/>
  <c r="D22" i="12"/>
  <c r="C21" i="12"/>
  <c r="R23" i="15" l="1"/>
  <c r="R21" i="12"/>
  <c r="R20" i="12"/>
  <c r="D24" i="15"/>
  <c r="B25" i="15"/>
  <c r="C24" i="15"/>
  <c r="R24" i="15" s="1"/>
  <c r="D23" i="12"/>
  <c r="C22" i="12"/>
  <c r="R22" i="12" l="1"/>
  <c r="B26" i="15"/>
  <c r="C25" i="15"/>
  <c r="D25" i="15"/>
  <c r="D24" i="12"/>
  <c r="C23" i="12"/>
  <c r="R25" i="15" l="1"/>
  <c r="R23" i="12"/>
  <c r="B27" i="15"/>
  <c r="D26" i="15"/>
  <c r="C26" i="15"/>
  <c r="R26" i="15" s="1"/>
  <c r="D25" i="12"/>
  <c r="C24" i="12"/>
  <c r="R24" i="12" l="1"/>
  <c r="D27" i="15"/>
  <c r="B28" i="15"/>
  <c r="C27" i="15"/>
  <c r="R27" i="15" s="1"/>
  <c r="D26" i="12"/>
  <c r="C25" i="12"/>
  <c r="R25" i="12" l="1"/>
  <c r="D28" i="15"/>
  <c r="B29" i="15"/>
  <c r="C28" i="15"/>
  <c r="D27" i="12"/>
  <c r="C26" i="12"/>
  <c r="R28" i="15" l="1"/>
  <c r="R26" i="12"/>
  <c r="B30" i="15"/>
  <c r="C29" i="15"/>
  <c r="D29" i="15"/>
  <c r="D28" i="12"/>
  <c r="C27" i="12"/>
  <c r="R29" i="15" l="1"/>
  <c r="R27" i="12"/>
  <c r="B31" i="15"/>
  <c r="C30" i="15"/>
  <c r="D30" i="15"/>
  <c r="D29" i="12"/>
  <c r="C28" i="12"/>
  <c r="R30" i="15" l="1"/>
  <c r="R28" i="12"/>
  <c r="D31" i="15"/>
  <c r="B32" i="15"/>
  <c r="C31" i="15"/>
  <c r="R31" i="15" s="1"/>
  <c r="D30" i="12"/>
  <c r="C29" i="12"/>
  <c r="R29" i="12" l="1"/>
  <c r="D32" i="15"/>
  <c r="B33" i="15"/>
  <c r="C32" i="15"/>
  <c r="D31" i="12"/>
  <c r="C30" i="12"/>
  <c r="R32" i="15" l="1"/>
  <c r="R30" i="12"/>
  <c r="B34" i="15"/>
  <c r="C33" i="15"/>
  <c r="D33" i="15"/>
  <c r="D32" i="12"/>
  <c r="C31" i="12"/>
  <c r="R33" i="15" l="1"/>
  <c r="R31" i="12"/>
  <c r="C34" i="15"/>
  <c r="B35" i="15"/>
  <c r="D34" i="15"/>
  <c r="D33" i="12"/>
  <c r="C32" i="12"/>
  <c r="R34" i="15" l="1"/>
  <c r="R32" i="12"/>
  <c r="D35" i="15"/>
  <c r="B36" i="15"/>
  <c r="C35" i="15"/>
  <c r="R35" i="15" s="1"/>
  <c r="D34" i="12"/>
  <c r="C33" i="12"/>
  <c r="R33" i="12" l="1"/>
  <c r="D36" i="15"/>
  <c r="B37" i="15"/>
  <c r="C36" i="15"/>
  <c r="D35" i="12"/>
  <c r="C34" i="12"/>
  <c r="R36" i="15" l="1"/>
  <c r="R34" i="12"/>
  <c r="B38" i="15"/>
  <c r="C37" i="15"/>
  <c r="R37" i="15" s="1"/>
  <c r="D37" i="15"/>
  <c r="D36" i="12"/>
  <c r="C35" i="12"/>
  <c r="R35" i="12" l="1"/>
  <c r="B39" i="15"/>
  <c r="C38" i="15"/>
  <c r="D38" i="15"/>
  <c r="D37" i="12"/>
  <c r="C36" i="12"/>
  <c r="R38" i="15" l="1"/>
  <c r="R36" i="12"/>
  <c r="B40" i="15"/>
  <c r="D39" i="15"/>
  <c r="C39" i="15"/>
  <c r="D38" i="12"/>
  <c r="C37" i="12"/>
  <c r="R39" i="15" l="1"/>
  <c r="R37" i="12"/>
  <c r="B41" i="15"/>
  <c r="D40" i="15"/>
  <c r="C40" i="15"/>
  <c r="R40" i="15" s="1"/>
  <c r="D39" i="12"/>
  <c r="C38" i="12"/>
  <c r="R38" i="12" l="1"/>
  <c r="C41" i="15"/>
  <c r="D41" i="15"/>
  <c r="D40" i="12"/>
  <c r="C39" i="12"/>
  <c r="R41" i="15" l="1"/>
  <c r="J43" i="15" s="1"/>
  <c r="R39" i="12"/>
  <c r="D41" i="12"/>
  <c r="C40" i="12"/>
  <c r="R40" i="12" l="1"/>
  <c r="D42" i="12"/>
  <c r="C41" i="12"/>
  <c r="R41" i="12" l="1"/>
  <c r="C42" i="12"/>
  <c r="R42" i="12" l="1"/>
  <c r="J44" i="12" l="1"/>
  <c r="I44" i="12"/>
  <c r="W12" i="12"/>
  <c r="V43" i="12" s="1"/>
</calcChain>
</file>

<file path=xl/comments1.xml><?xml version="1.0" encoding="utf-8"?>
<comments xmlns="http://schemas.openxmlformats.org/spreadsheetml/2006/main">
  <authors>
    <author>kakoli</author>
    <author>SHIHUI</author>
  </authors>
  <commentList>
    <comment ref="I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自動計算
残業時間は出勤日数*8時間+30時間から</t>
        </r>
      </text>
    </comment>
    <comment ref="M1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SHIHUI:</t>
        </r>
        <r>
          <rPr>
            <sz val="9"/>
            <color indexed="81"/>
            <rFont val="MS P ゴシック"/>
            <family val="3"/>
            <charset val="128"/>
          </rPr>
          <t xml:space="preserve">
22：00から翌日の5：00まで
の間に夜勤と認めます。</t>
        </r>
      </text>
    </comment>
  </commentList>
</comments>
</file>

<file path=xl/comments2.xml><?xml version="1.0" encoding="utf-8"?>
<comments xmlns="http://schemas.openxmlformats.org/spreadsheetml/2006/main">
  <authors>
    <author>kakoli</author>
    <author>SHIHUI</author>
  </authors>
  <commentList>
    <comment ref="I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自動計算
日曜　     *1.08
残業時間は出勤日数*8時間+30時間から</t>
        </r>
      </text>
    </comment>
    <comment ref="M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SHIHUI:
22：00から翌日の5：00まで
の間に夜勤と認めます。</t>
        </r>
      </text>
    </comment>
  </commentList>
</comments>
</file>

<file path=xl/sharedStrings.xml><?xml version="1.0" encoding="utf-8"?>
<sst xmlns="http://schemas.openxmlformats.org/spreadsheetml/2006/main" count="150" uniqueCount="85">
  <si>
    <t>　　　　　　　 　　　　　　</t>
  </si>
  <si>
    <t>作業報告書</t>
  </si>
  <si>
    <t>※ 太線（白色）部分をご記入ください</t>
  </si>
  <si>
    <t>日</t>
  </si>
  <si>
    <t>曜日</t>
  </si>
  <si>
    <t>始業時刻</t>
  </si>
  <si>
    <t>終業時刻</t>
  </si>
  <si>
    <t>実働時間</t>
  </si>
  <si>
    <t>当日</t>
  </si>
  <si>
    <t>Bizplus（株）</t>
    <phoneticPr fontId="5"/>
  </si>
  <si>
    <t>管理部確認</t>
  </si>
  <si>
    <t>有休</t>
    <rPh sb="0" eb="2">
      <t>ユウキュウ</t>
    </rPh>
    <phoneticPr fontId="5"/>
  </si>
  <si>
    <t>代休</t>
    <rPh sb="0" eb="2">
      <t>ダイキュウ</t>
    </rPh>
    <phoneticPr fontId="5"/>
  </si>
  <si>
    <t>欠勤</t>
    <rPh sb="0" eb="2">
      <t>ケッキン</t>
    </rPh>
    <phoneticPr fontId="5"/>
  </si>
  <si>
    <t>祝日</t>
    <rPh sb="0" eb="2">
      <t>シュクジツ</t>
    </rPh>
    <phoneticPr fontId="5"/>
  </si>
  <si>
    <t>出勤日数</t>
    <rPh sb="0" eb="2">
      <t>シュッキン</t>
    </rPh>
    <rPh sb="2" eb="4">
      <t>ニッスウ</t>
    </rPh>
    <phoneticPr fontId="5"/>
  </si>
  <si>
    <t>欠勤日数</t>
    <rPh sb="0" eb="2">
      <t>ケッキン</t>
    </rPh>
    <rPh sb="2" eb="4">
      <t>ニッスウ</t>
    </rPh>
    <phoneticPr fontId="5"/>
  </si>
  <si>
    <t>代休日数</t>
    <rPh sb="0" eb="2">
      <t>ダイキュウ</t>
    </rPh>
    <rPh sb="2" eb="4">
      <t>ニッスウ</t>
    </rPh>
    <phoneticPr fontId="5"/>
  </si>
  <si>
    <t>実働時間</t>
    <phoneticPr fontId="5"/>
  </si>
  <si>
    <t>実働合計(h)</t>
    <rPh sb="2" eb="4">
      <t>ゴウケイ</t>
    </rPh>
    <phoneticPr fontId="5"/>
  </si>
  <si>
    <t>残業時間(h)</t>
    <rPh sb="0" eb="2">
      <t>ザンギョウ</t>
    </rPh>
    <rPh sb="2" eb="4">
      <t>ジカン</t>
    </rPh>
    <phoneticPr fontId="5"/>
  </si>
  <si>
    <t>出勤日数計算用</t>
    <rPh sb="4" eb="7">
      <t>ケイサンヨウ</t>
    </rPh>
    <phoneticPr fontId="5"/>
  </si>
  <si>
    <t>残業日数計算用</t>
    <rPh sb="0" eb="2">
      <t>ザンギョウ</t>
    </rPh>
    <rPh sb="4" eb="7">
      <t>ケイサンヨウ</t>
    </rPh>
    <phoneticPr fontId="5"/>
  </si>
  <si>
    <t>0.5日有休</t>
    <rPh sb="3" eb="4">
      <t>ニチ</t>
    </rPh>
    <rPh sb="4" eb="6">
      <t>ユウキュウ</t>
    </rPh>
    <phoneticPr fontId="5"/>
  </si>
  <si>
    <t>有休計算</t>
    <rPh sb="0" eb="2">
      <t>ユウキュウ</t>
    </rPh>
    <rPh sb="2" eb="4">
      <t>ケイサン</t>
    </rPh>
    <phoneticPr fontId="5"/>
  </si>
  <si>
    <t>0.5日有休計算</t>
    <rPh sb="3" eb="4">
      <t>ニチ</t>
    </rPh>
    <rPh sb="4" eb="6">
      <t>ユウキュウ</t>
    </rPh>
    <phoneticPr fontId="5"/>
  </si>
  <si>
    <t>代休数</t>
    <rPh sb="0" eb="2">
      <t>ダイキュウ</t>
    </rPh>
    <rPh sb="2" eb="3">
      <t>スウ</t>
    </rPh>
    <phoneticPr fontId="5"/>
  </si>
  <si>
    <t>終業時刻&lt;始業時刻の場合</t>
    <rPh sb="10" eb="12">
      <t>バアイ</t>
    </rPh>
    <phoneticPr fontId="7"/>
  </si>
  <si>
    <t>夜勤時間</t>
    <rPh sb="0" eb="2">
      <t>ヤキン</t>
    </rPh>
    <rPh sb="2" eb="4">
      <t>ジカン</t>
    </rPh>
    <phoneticPr fontId="5"/>
  </si>
  <si>
    <t>シフト制</t>
    <rPh sb="3" eb="4">
      <t>セイ</t>
    </rPh>
    <phoneticPr fontId="5"/>
  </si>
  <si>
    <t>欠勤計算</t>
    <rPh sb="0" eb="2">
      <t>ケッキン</t>
    </rPh>
    <rPh sb="2" eb="4">
      <t>ケイサン</t>
    </rPh>
    <phoneticPr fontId="5"/>
  </si>
  <si>
    <t>0.5日欠勤計算</t>
    <rPh sb="3" eb="4">
      <t>ニチ</t>
    </rPh>
    <phoneticPr fontId="5"/>
  </si>
  <si>
    <t>備考</t>
    <rPh sb="0" eb="2">
      <t>ビコウ</t>
    </rPh>
    <phoneticPr fontId="5"/>
  </si>
  <si>
    <t>祝日</t>
    <rPh sb="0" eb="2">
      <t>シュクジツ</t>
    </rPh>
    <phoneticPr fontId="7"/>
  </si>
  <si>
    <t>元日</t>
  </si>
  <si>
    <t>成人の日</t>
  </si>
  <si>
    <t>建国記念の日</t>
  </si>
  <si>
    <t>春分の日</t>
  </si>
  <si>
    <t>昭和の日</t>
  </si>
  <si>
    <t>休日</t>
  </si>
  <si>
    <t>（新天皇即位）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</si>
  <si>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</si>
  <si>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</si>
  <si>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</si>
  <si>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</si>
  <si>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</si>
  <si>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</si>
  <si>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</si>
  <si>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秋分の日</t>
  </si>
  <si>
    <t>体育の日</t>
  </si>
  <si>
    <t>（即位礼正殿の儀）</t>
  </si>
  <si>
    <t>文化の日</t>
  </si>
  <si>
    <t>勤労感謝の日</t>
  </si>
  <si>
    <t>1日</t>
  </si>
  <si>
    <t>0.5日</t>
  </si>
  <si>
    <t>深夜勤務時間（H）</t>
    <rPh sb="0" eb="2">
      <t>シンヤ</t>
    </rPh>
    <rPh sb="2" eb="4">
      <t>キンム</t>
    </rPh>
    <rPh sb="4" eb="6">
      <t>ジカン</t>
    </rPh>
    <phoneticPr fontId="5"/>
  </si>
  <si>
    <t>有休取得</t>
    <rPh sb="0" eb="2">
      <t>ユウキュウ</t>
    </rPh>
    <rPh sb="2" eb="4">
      <t>シュトク</t>
    </rPh>
    <phoneticPr fontId="5"/>
  </si>
  <si>
    <t>振替休暇</t>
    <rPh sb="0" eb="2">
      <t>フリカエ</t>
    </rPh>
    <rPh sb="2" eb="4">
      <t>キュウカ</t>
    </rPh>
    <phoneticPr fontId="5"/>
  </si>
  <si>
    <t>祝日</t>
    <rPh sb="0" eb="2">
      <t>シュクジツ</t>
    </rPh>
    <phoneticPr fontId="7"/>
  </si>
  <si>
    <t>シフト制</t>
    <rPh sb="3" eb="4">
      <t>セイ</t>
    </rPh>
    <phoneticPr fontId="5"/>
  </si>
  <si>
    <t>※ 太線（白色）部分をご記入ください</t>
    <phoneticPr fontId="5"/>
  </si>
  <si>
    <t>作業報告書</t>
    <phoneticPr fontId="5"/>
  </si>
  <si>
    <t>部長確認</t>
    <rPh sb="0" eb="2">
      <t>ブチョウ</t>
    </rPh>
    <rPh sb="2" eb="4">
      <t>カクニン</t>
    </rPh>
    <phoneticPr fontId="5"/>
  </si>
  <si>
    <t>作業者名</t>
    <rPh sb="0" eb="3">
      <t>サギョウシャ</t>
    </rPh>
    <rPh sb="3" eb="4">
      <t>メイ</t>
    </rPh>
    <phoneticPr fontId="5"/>
  </si>
  <si>
    <t>お客様名</t>
    <rPh sb="1" eb="3">
      <t>キャクサマ</t>
    </rPh>
    <rPh sb="3" eb="4">
      <t>メイ</t>
    </rPh>
    <phoneticPr fontId="5"/>
  </si>
  <si>
    <t>勤務場所</t>
    <rPh sb="0" eb="4">
      <t>キンムバショ</t>
    </rPh>
    <phoneticPr fontId="5"/>
  </si>
  <si>
    <t>所定出勤時間</t>
    <rPh sb="0" eb="2">
      <t>ショテイ</t>
    </rPh>
    <rPh sb="2" eb="4">
      <t>シュッキン</t>
    </rPh>
    <rPh sb="4" eb="6">
      <t>ジカン</t>
    </rPh>
    <phoneticPr fontId="5"/>
  </si>
  <si>
    <t>所定退勤時間</t>
    <rPh sb="2" eb="4">
      <t>タイキン</t>
    </rPh>
    <phoneticPr fontId="5"/>
  </si>
  <si>
    <t>休憩時間</t>
    <phoneticPr fontId="5"/>
  </si>
  <si>
    <t>所定休憩時間</t>
    <phoneticPr fontId="5"/>
  </si>
  <si>
    <t>法定休日時間(H)</t>
    <rPh sb="0" eb="2">
      <t>ホウテイ</t>
    </rPh>
    <rPh sb="2" eb="4">
      <t>キュウジツ</t>
    </rPh>
    <rPh sb="4" eb="6">
      <t>ジカン</t>
    </rPh>
    <phoneticPr fontId="5"/>
  </si>
  <si>
    <t>法定休日時間合計</t>
    <rPh sb="0" eb="2">
      <t>ホウテイ</t>
    </rPh>
    <rPh sb="2" eb="4">
      <t>キュウジツ</t>
    </rPh>
    <rPh sb="4" eb="6">
      <t>ジカン</t>
    </rPh>
    <rPh sb="6" eb="8">
      <t>ゴウケイ</t>
    </rPh>
    <phoneticPr fontId="5"/>
  </si>
  <si>
    <t>所定出勤時間</t>
    <phoneticPr fontId="5"/>
  </si>
  <si>
    <t>所定退勤時間</t>
    <rPh sb="2" eb="4">
      <t>タイキン</t>
    </rPh>
    <phoneticPr fontId="5"/>
  </si>
  <si>
    <t>休憩時間</t>
    <phoneticPr fontId="5"/>
  </si>
  <si>
    <t>作業者名</t>
    <rPh sb="0" eb="3">
      <t>サギョウシャ</t>
    </rPh>
    <rPh sb="3" eb="4">
      <t>メイ</t>
    </rPh>
    <phoneticPr fontId="5"/>
  </si>
  <si>
    <t>お客様名</t>
    <rPh sb="1" eb="3">
      <t>キャクサマ</t>
    </rPh>
    <rPh sb="3" eb="4">
      <t>メイ</t>
    </rPh>
    <phoneticPr fontId="5"/>
  </si>
  <si>
    <t>勤務場所</t>
    <rPh sb="0" eb="2">
      <t>キンム</t>
    </rPh>
    <rPh sb="2" eb="4">
      <t>バショ</t>
    </rPh>
    <phoneticPr fontId="5"/>
  </si>
  <si>
    <t>〇〇</t>
    <phoneticPr fontId="5"/>
  </si>
  <si>
    <t>Nexs</t>
    <phoneticPr fontId="5"/>
  </si>
  <si>
    <t>三田国際ビル</t>
    <rPh sb="0" eb="2">
      <t>ミタ</t>
    </rPh>
    <rPh sb="2" eb="4">
      <t>コクサイ</t>
    </rPh>
    <phoneticPr fontId="5"/>
  </si>
  <si>
    <t>□□□</t>
    <phoneticPr fontId="5"/>
  </si>
  <si>
    <t>△△△</t>
    <phoneticPr fontId="5"/>
  </si>
  <si>
    <t>〇〇〇</t>
    <phoneticPr fontId="5"/>
  </si>
  <si>
    <t>代休：2月10日出勤分</t>
    <rPh sb="0" eb="2">
      <t>ダイキュウ</t>
    </rPh>
    <rPh sb="4" eb="5">
      <t>ガツ</t>
    </rPh>
    <rPh sb="7" eb="8">
      <t>ニチ</t>
    </rPh>
    <rPh sb="8" eb="10">
      <t>シュッキン</t>
    </rPh>
    <rPh sb="10" eb="11">
      <t>ブン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</si>
</sst>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yyyy&quot;年&quot;mm&quot;月&quot;&quot;度&quot;"/>
    <numFmt numFmtId="177" formatCode="d"/>
    <numFmt numFmtId="178" formatCode="aaa"/>
    <numFmt numFmtId="179" formatCode="[h]:mm"/>
    <numFmt numFmtId="180" formatCode="0.00_);[Red]\(0.00\)"/>
  </numFmts>
  <fonts count="28">
    <font>
      <sz val="11"/>
      <color rgb="FF000000"/>
      <name val="MS PGothic"/>
      <family val="3"/>
      <charset val="128"/>
    </font>
    <font>
      <sz val="11"/>
      <name val="MS PMincho"/>
      <family val="1"/>
      <charset val="128"/>
    </font>
    <font>
      <sz val="11"/>
      <name val="MS PGothic"/>
      <family val="3"/>
      <charset val="128"/>
    </font>
    <font>
      <b/>
      <sz val="11"/>
      <name val="MS PMincho"/>
      <family val="1"/>
      <charset val="128"/>
    </font>
    <font>
      <sz val="10"/>
      <name val="MS PMincho"/>
      <family val="1"/>
      <charset val="128"/>
    </font>
    <font>
      <sz val="6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  <font>
      <sz val="6"/>
      <name val="MS PGothic"/>
      <family val="3"/>
      <charset val="128"/>
    </font>
    <font>
      <b/>
      <sz val="11"/>
      <color rgb="FFFF0000"/>
      <name val="MS PMincho"/>
      <family val="1"/>
      <charset val="128"/>
    </font>
    <font>
      <sz val="10"/>
      <color rgb="FF000000"/>
      <name val="MS PMincho"/>
      <family val="1"/>
      <charset val="128"/>
    </font>
    <font>
      <sz val="9"/>
      <color indexed="81"/>
      <name val="MS P ゴシック"/>
      <family val="3"/>
      <charset val="128"/>
    </font>
    <font>
      <sz val="20"/>
      <color rgb="FF000000"/>
      <name val="MS PGothic"/>
      <family val="3"/>
      <charset val="128"/>
    </font>
    <font>
      <b/>
      <u/>
      <sz val="20"/>
      <name val="MS PMincho"/>
      <family val="1"/>
      <charset val="128"/>
    </font>
    <font>
      <b/>
      <u/>
      <sz val="20"/>
      <color rgb="FFFF0000"/>
      <name val="ＭＳ ゴシック"/>
      <family val="3"/>
      <charset val="128"/>
    </font>
    <font>
      <u/>
      <sz val="20"/>
      <color rgb="FF000000"/>
      <name val="MS PGothic"/>
      <family val="3"/>
      <charset val="128"/>
    </font>
    <font>
      <sz val="11"/>
      <color rgb="FFFF0000"/>
      <name val="MS PMincho"/>
      <family val="1"/>
      <charset val="128"/>
    </font>
    <font>
      <sz val="12"/>
      <name val="MS PMincho"/>
      <family val="1"/>
      <charset val="128"/>
    </font>
    <font>
      <sz val="12"/>
      <name val="MS PGothic"/>
      <family val="3"/>
      <charset val="128"/>
    </font>
    <font>
      <sz val="12"/>
      <color rgb="FF000000"/>
      <name val="MS PGothic"/>
      <family val="3"/>
      <charset val="128"/>
    </font>
    <font>
      <sz val="12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  <scheme val="minor"/>
    </font>
    <font>
      <b/>
      <sz val="12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2"/>
      <color rgb="FFFF0000"/>
      <name val="MS PMincho"/>
      <family val="1"/>
      <charset val="128"/>
    </font>
    <font>
      <b/>
      <sz val="26"/>
      <color rgb="FFFF0000"/>
      <name val="ＭＳ ゴシック"/>
      <family val="3"/>
      <charset val="128"/>
    </font>
    <font>
      <sz val="26"/>
      <color rgb="FF000000"/>
      <name val="MS PGothic"/>
      <family val="3"/>
      <charset val="128"/>
    </font>
    <font>
      <sz val="9"/>
      <name val="ＭＳ Ｐゴシック"/>
      <family val="3"/>
      <charset val="128"/>
      <scheme val="minor"/>
    </font>
    <font>
      <sz val="9"/>
      <name val="MS PMincho"/>
      <family val="1"/>
      <charset val="128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B6DDE8"/>
        <bgColor rgb="FFB6DDE8"/>
      </patternFill>
    </fill>
    <fill>
      <patternFill patternType="solid">
        <fgColor rgb="FFFFFFFF"/>
        <bgColor rgb="FFFFFFFF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79" fontId="1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/>
    </xf>
    <xf numFmtId="0" fontId="2" fillId="0" borderId="0" xfId="0" applyFont="1"/>
    <xf numFmtId="0" fontId="1" fillId="2" borderId="7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179" fontId="1" fillId="0" borderId="2" xfId="0" applyNumberFormat="1" applyFont="1" applyBorder="1" applyAlignment="1">
      <alignment vertical="center"/>
    </xf>
    <xf numFmtId="20" fontId="1" fillId="0" borderId="2" xfId="0" applyNumberFormat="1" applyFont="1" applyBorder="1" applyAlignment="1">
      <alignment vertical="center"/>
    </xf>
    <xf numFmtId="178" fontId="2" fillId="5" borderId="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0" fillId="6" borderId="2" xfId="0" applyFill="1" applyBorder="1"/>
    <xf numFmtId="0" fontId="1" fillId="0" borderId="2" xfId="0" quotePrefix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2" fillId="0" borderId="2" xfId="0" applyFont="1" applyBorder="1"/>
    <xf numFmtId="180" fontId="1" fillId="7" borderId="2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177" fontId="1" fillId="5" borderId="43" xfId="0" applyNumberFormat="1" applyFont="1" applyFill="1" applyBorder="1" applyAlignment="1">
      <alignment horizontal="center" vertical="center"/>
    </xf>
    <xf numFmtId="0" fontId="3" fillId="2" borderId="37" xfId="0" applyFont="1" applyFill="1" applyBorder="1" applyAlignment="1">
      <alignment horizontal="center" vertical="center"/>
    </xf>
    <xf numFmtId="180" fontId="8" fillId="2" borderId="37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3" fillId="2" borderId="5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6" borderId="0" xfId="0" applyFill="1"/>
    <xf numFmtId="0" fontId="0" fillId="0" borderId="2" xfId="0" applyBorder="1" applyAlignment="1">
      <alignment horizontal="center"/>
    </xf>
    <xf numFmtId="56" fontId="0" fillId="0" borderId="2" xfId="0" applyNumberFormat="1" applyBorder="1" applyAlignment="1">
      <alignment horizontal="left"/>
    </xf>
    <xf numFmtId="0" fontId="11" fillId="0" borderId="0" xfId="0" applyFont="1"/>
    <xf numFmtId="0" fontId="16" fillId="0" borderId="0" xfId="0" applyFont="1" applyAlignment="1">
      <alignment vertical="center"/>
    </xf>
    <xf numFmtId="0" fontId="18" fillId="0" borderId="0" xfId="0" applyFont="1"/>
    <xf numFmtId="0" fontId="19" fillId="0" borderId="0" xfId="0" applyFont="1" applyAlignment="1">
      <alignment horizontal="center" vertical="center"/>
    </xf>
    <xf numFmtId="0" fontId="19" fillId="2" borderId="41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/>
    <xf numFmtId="0" fontId="19" fillId="2" borderId="7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177" fontId="19" fillId="5" borderId="43" xfId="0" applyNumberFormat="1" applyFont="1" applyFill="1" applyBorder="1" applyAlignment="1">
      <alignment horizontal="center" vertical="center"/>
    </xf>
    <xf numFmtId="178" fontId="19" fillId="5" borderId="5" xfId="0" applyNumberFormat="1" applyFont="1" applyFill="1" applyBorder="1" applyAlignment="1">
      <alignment horizontal="center" vertical="center"/>
    </xf>
    <xf numFmtId="180" fontId="19" fillId="7" borderId="2" xfId="0" applyNumberFormat="1" applyFont="1" applyFill="1" applyBorder="1" applyAlignment="1">
      <alignment vertical="center"/>
    </xf>
    <xf numFmtId="179" fontId="19" fillId="0" borderId="2" xfId="0" applyNumberFormat="1" applyFont="1" applyBorder="1" applyAlignment="1">
      <alignment vertical="center"/>
    </xf>
    <xf numFmtId="20" fontId="19" fillId="7" borderId="2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0" fontId="19" fillId="0" borderId="2" xfId="0" applyFont="1" applyBorder="1"/>
    <xf numFmtId="0" fontId="19" fillId="0" borderId="0" xfId="0" applyFont="1" applyAlignment="1">
      <alignment vertical="center" wrapText="1"/>
    </xf>
    <xf numFmtId="0" fontId="21" fillId="2" borderId="37" xfId="0" applyFont="1" applyFill="1" applyBorder="1" applyAlignment="1">
      <alignment horizontal="center" vertical="center"/>
    </xf>
    <xf numFmtId="180" fontId="22" fillId="2" borderId="37" xfId="0" applyNumberFormat="1" applyFont="1" applyFill="1" applyBorder="1" applyAlignment="1">
      <alignment horizontal="center" vertical="center"/>
    </xf>
    <xf numFmtId="0" fontId="21" fillId="2" borderId="50" xfId="0" applyFon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7" fillId="0" borderId="0" xfId="0" applyFont="1"/>
    <xf numFmtId="0" fontId="23" fillId="0" borderId="0" xfId="0" applyFont="1" applyAlignment="1">
      <alignment vertical="center"/>
    </xf>
    <xf numFmtId="0" fontId="25" fillId="0" borderId="0" xfId="0" applyFont="1" applyAlignment="1">
      <alignment horizontal="left" vertical="center"/>
    </xf>
    <xf numFmtId="0" fontId="26" fillId="2" borderId="3" xfId="0" applyFont="1" applyFill="1" applyBorder="1" applyAlignment="1">
      <alignment horizontal="center" vertical="center" wrapText="1"/>
    </xf>
    <xf numFmtId="20" fontId="19" fillId="0" borderId="2" xfId="0" applyNumberFormat="1" applyFont="1" applyBorder="1"/>
    <xf numFmtId="0" fontId="19" fillId="0" borderId="3" xfId="0" applyFont="1" applyBorder="1" applyProtection="1"/>
    <xf numFmtId="0" fontId="19" fillId="0" borderId="65" xfId="0" applyFont="1" applyBorder="1" applyAlignment="1">
      <alignment vertical="center"/>
    </xf>
    <xf numFmtId="0" fontId="19" fillId="0" borderId="66" xfId="0" applyFont="1" applyBorder="1" applyAlignment="1">
      <alignment vertical="center"/>
    </xf>
    <xf numFmtId="0" fontId="19" fillId="2" borderId="67" xfId="0" applyFont="1" applyFill="1" applyBorder="1" applyAlignment="1">
      <alignment horizontal="center" vertical="center"/>
    </xf>
    <xf numFmtId="0" fontId="19" fillId="2" borderId="68" xfId="0" applyFont="1" applyFill="1" applyBorder="1" applyAlignment="1">
      <alignment horizontal="center" vertical="center"/>
    </xf>
    <xf numFmtId="0" fontId="2" fillId="0" borderId="3" xfId="0" applyFont="1" applyFill="1" applyBorder="1"/>
    <xf numFmtId="0" fontId="1" fillId="0" borderId="65" xfId="0" applyFont="1" applyBorder="1" applyAlignment="1">
      <alignment vertical="center"/>
    </xf>
    <xf numFmtId="0" fontId="1" fillId="0" borderId="66" xfId="0" applyFont="1" applyBorder="1" applyAlignment="1">
      <alignment vertical="center"/>
    </xf>
    <xf numFmtId="0" fontId="1" fillId="2" borderId="67" xfId="0" applyFont="1" applyFill="1" applyBorder="1" applyAlignment="1">
      <alignment horizontal="center" vertical="center"/>
    </xf>
    <xf numFmtId="0" fontId="1" fillId="2" borderId="68" xfId="0" applyFont="1" applyFill="1" applyBorder="1" applyAlignment="1">
      <alignment horizontal="center" vertical="center"/>
    </xf>
    <xf numFmtId="0" fontId="27" fillId="2" borderId="3" xfId="0" applyFont="1" applyFill="1" applyBorder="1" applyAlignment="1">
      <alignment horizontal="center" vertical="center" wrapText="1"/>
    </xf>
    <xf numFmtId="0" fontId="19" fillId="7" borderId="2" xfId="0" quotePrefix="1" applyNumberFormat="1" applyFont="1" applyFill="1" applyBorder="1" applyAlignment="1">
      <alignment vertical="center"/>
    </xf>
    <xf numFmtId="0" fontId="19" fillId="2" borderId="40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2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6" fillId="0" borderId="35" xfId="0" applyFont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63" xfId="0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43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3" borderId="51" xfId="0" applyFont="1" applyFill="1" applyBorder="1" applyAlignment="1">
      <alignment horizontal="center" vertical="center"/>
    </xf>
    <xf numFmtId="0" fontId="16" fillId="3" borderId="52" xfId="0" applyFont="1" applyFill="1" applyBorder="1" applyAlignment="1">
      <alignment horizontal="center" vertical="center"/>
    </xf>
    <xf numFmtId="0" fontId="16" fillId="3" borderId="45" xfId="0" applyFont="1" applyFill="1" applyBorder="1" applyAlignment="1">
      <alignment horizontal="center" vertical="center"/>
    </xf>
    <xf numFmtId="0" fontId="16" fillId="3" borderId="58" xfId="0" applyFont="1" applyFill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58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2" xfId="0" applyFont="1" applyBorder="1" applyAlignment="1">
      <alignment horizontal="center" vertical="center"/>
    </xf>
    <xf numFmtId="0" fontId="19" fillId="2" borderId="42" xfId="0" applyFont="1" applyFill="1" applyBorder="1" applyAlignment="1">
      <alignment horizontal="center" vertical="center" wrapText="1"/>
    </xf>
    <xf numFmtId="0" fontId="19" fillId="2" borderId="48" xfId="0" applyFont="1" applyFill="1" applyBorder="1" applyAlignment="1">
      <alignment horizontal="center" vertical="center" wrapText="1"/>
    </xf>
    <xf numFmtId="0" fontId="19" fillId="2" borderId="49" xfId="0" applyFont="1" applyFill="1" applyBorder="1" applyAlignment="1">
      <alignment horizontal="center" vertical="center"/>
    </xf>
    <xf numFmtId="0" fontId="19" fillId="2" borderId="64" xfId="0" applyFont="1" applyFill="1" applyBorder="1" applyAlignment="1">
      <alignment horizontal="center" vertical="center"/>
    </xf>
    <xf numFmtId="0" fontId="19" fillId="2" borderId="65" xfId="0" applyFont="1" applyFill="1" applyBorder="1"/>
    <xf numFmtId="0" fontId="16" fillId="3" borderId="55" xfId="0" applyFont="1" applyFill="1" applyBorder="1" applyAlignment="1">
      <alignment horizontal="center" vertical="center"/>
    </xf>
    <xf numFmtId="0" fontId="16" fillId="3" borderId="69" xfId="0" applyFont="1" applyFill="1" applyBorder="1" applyAlignment="1">
      <alignment horizontal="center" vertical="center"/>
    </xf>
    <xf numFmtId="0" fontId="17" fillId="0" borderId="55" xfId="0" applyFont="1" applyBorder="1" applyAlignment="1">
      <alignment horizontal="center" vertical="center"/>
    </xf>
    <xf numFmtId="0" fontId="17" fillId="0" borderId="69" xfId="0" applyFont="1" applyBorder="1" applyAlignment="1">
      <alignment horizontal="center" vertical="center"/>
    </xf>
    <xf numFmtId="176" fontId="24" fillId="0" borderId="0" xfId="0" applyNumberFormat="1" applyFont="1" applyAlignment="1">
      <alignment horizontal="right" vertical="center"/>
    </xf>
    <xf numFmtId="0" fontId="16" fillId="3" borderId="33" xfId="0" applyFont="1" applyFill="1" applyBorder="1" applyAlignment="1">
      <alignment horizontal="center" vertical="center"/>
    </xf>
    <xf numFmtId="0" fontId="16" fillId="3" borderId="34" xfId="0" applyFont="1" applyFill="1" applyBorder="1" applyAlignment="1">
      <alignment horizontal="center" vertical="center"/>
    </xf>
    <xf numFmtId="0" fontId="16" fillId="3" borderId="57" xfId="0" applyFont="1" applyFill="1" applyBorder="1" applyAlignment="1">
      <alignment horizontal="center" vertical="center"/>
    </xf>
    <xf numFmtId="0" fontId="16" fillId="3" borderId="43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 vertical="center"/>
    </xf>
    <xf numFmtId="0" fontId="19" fillId="2" borderId="45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21" fillId="2" borderId="46" xfId="0" applyFont="1" applyFill="1" applyBorder="1" applyAlignment="1">
      <alignment horizontal="center" vertical="center"/>
    </xf>
    <xf numFmtId="0" fontId="21" fillId="2" borderId="47" xfId="0" applyFont="1" applyFill="1" applyBorder="1" applyAlignment="1">
      <alignment horizontal="center" vertical="center"/>
    </xf>
    <xf numFmtId="0" fontId="19" fillId="2" borderId="41" xfId="0" applyFont="1" applyFill="1" applyBorder="1" applyAlignment="1">
      <alignment horizontal="center" vertical="center"/>
    </xf>
    <xf numFmtId="0" fontId="19" fillId="2" borderId="7" xfId="0" applyFont="1" applyFill="1" applyBorder="1"/>
    <xf numFmtId="0" fontId="19" fillId="2" borderId="33" xfId="0" applyFont="1" applyFill="1" applyBorder="1" applyAlignment="1">
      <alignment horizontal="center" vertical="center"/>
    </xf>
    <xf numFmtId="0" fontId="19" fillId="2" borderId="43" xfId="0" applyFont="1" applyFill="1" applyBorder="1"/>
    <xf numFmtId="0" fontId="19" fillId="2" borderId="39" xfId="0" applyFont="1" applyFill="1" applyBorder="1" applyAlignment="1">
      <alignment horizontal="center" vertical="center"/>
    </xf>
    <xf numFmtId="0" fontId="19" fillId="2" borderId="8" xfId="0" applyFont="1" applyFill="1" applyBorder="1"/>
    <xf numFmtId="0" fontId="16" fillId="3" borderId="36" xfId="0" applyFont="1" applyFill="1" applyBorder="1" applyAlignment="1">
      <alignment horizontal="center" vertical="center"/>
    </xf>
    <xf numFmtId="0" fontId="16" fillId="3" borderId="37" xfId="0" applyFont="1" applyFill="1" applyBorder="1" applyAlignment="1">
      <alignment horizontal="center" vertical="center"/>
    </xf>
    <xf numFmtId="0" fontId="16" fillId="3" borderId="30" xfId="0" applyFont="1" applyFill="1" applyBorder="1" applyAlignment="1">
      <alignment horizontal="center" vertical="center"/>
    </xf>
    <xf numFmtId="20" fontId="16" fillId="4" borderId="51" xfId="0" applyNumberFormat="1" applyFont="1" applyFill="1" applyBorder="1" applyAlignment="1">
      <alignment horizontal="center" vertical="center"/>
    </xf>
    <xf numFmtId="0" fontId="16" fillId="4" borderId="52" xfId="0" applyFont="1" applyFill="1" applyBorder="1" applyAlignment="1">
      <alignment horizontal="center" vertical="center"/>
    </xf>
    <xf numFmtId="20" fontId="16" fillId="4" borderId="45" xfId="0" applyNumberFormat="1" applyFont="1" applyFill="1" applyBorder="1" applyAlignment="1">
      <alignment horizontal="center" vertical="center"/>
    </xf>
    <xf numFmtId="0" fontId="16" fillId="4" borderId="58" xfId="0" applyFont="1" applyFill="1" applyBorder="1" applyAlignment="1">
      <alignment horizontal="center" vertical="center"/>
    </xf>
    <xf numFmtId="20" fontId="16" fillId="4" borderId="46" xfId="0" applyNumberFormat="1" applyFont="1" applyFill="1" applyBorder="1" applyAlignment="1">
      <alignment horizontal="center" vertical="center"/>
    </xf>
    <xf numFmtId="0" fontId="16" fillId="4" borderId="32" xfId="0" applyFont="1" applyFill="1" applyBorder="1" applyAlignment="1">
      <alignment horizontal="center"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6" xfId="0" applyFont="1" applyBorder="1" applyAlignment="1">
      <alignment vertical="center"/>
    </xf>
    <xf numFmtId="0" fontId="2" fillId="0" borderId="15" xfId="0" applyFont="1" applyBorder="1"/>
    <xf numFmtId="0" fontId="1" fillId="2" borderId="4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2" fillId="0" borderId="17" xfId="0" applyFont="1" applyBorder="1"/>
    <xf numFmtId="0" fontId="1" fillId="0" borderId="18" xfId="0" applyFont="1" applyBorder="1" applyAlignment="1">
      <alignment vertical="center"/>
    </xf>
    <xf numFmtId="0" fontId="1" fillId="0" borderId="19" xfId="0" applyFont="1" applyBorder="1" applyAlignment="1">
      <alignment horizontal="center" vertical="center"/>
    </xf>
    <xf numFmtId="0" fontId="2" fillId="0" borderId="20" xfId="0" applyFont="1" applyBorder="1"/>
    <xf numFmtId="0" fontId="1" fillId="0" borderId="5" xfId="0" applyFont="1" applyBorder="1" applyAlignment="1">
      <alignment vertical="center"/>
    </xf>
    <xf numFmtId="0" fontId="1" fillId="2" borderId="64" xfId="0" applyFont="1" applyFill="1" applyBorder="1" applyAlignment="1">
      <alignment horizontal="center" vertical="center"/>
    </xf>
    <xf numFmtId="0" fontId="2" fillId="2" borderId="65" xfId="0" applyFont="1" applyFill="1" applyBorder="1"/>
    <xf numFmtId="0" fontId="1" fillId="2" borderId="33" xfId="0" applyFont="1" applyFill="1" applyBorder="1" applyAlignment="1">
      <alignment horizontal="center" vertical="center"/>
    </xf>
    <xf numFmtId="0" fontId="2" fillId="2" borderId="43" xfId="0" applyFont="1" applyFill="1" applyBorder="1"/>
    <xf numFmtId="0" fontId="1" fillId="2" borderId="39" xfId="0" applyFont="1" applyFill="1" applyBorder="1" applyAlignment="1">
      <alignment horizontal="center" vertical="center"/>
    </xf>
    <xf numFmtId="0" fontId="2" fillId="2" borderId="8" xfId="0" applyFont="1" applyFill="1" applyBorder="1"/>
    <xf numFmtId="0" fontId="1" fillId="2" borderId="40" xfId="0" applyFont="1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2" fillId="2" borderId="7" xfId="0" applyFont="1" applyFill="1" applyBorder="1"/>
    <xf numFmtId="0" fontId="1" fillId="2" borderId="4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0" fontId="1" fillId="2" borderId="49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left" vertical="center"/>
    </xf>
    <xf numFmtId="0" fontId="2" fillId="0" borderId="5" xfId="0" applyFont="1" applyBorder="1"/>
    <xf numFmtId="20" fontId="1" fillId="4" borderId="9" xfId="0" applyNumberFormat="1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1" fillId="3" borderId="28" xfId="0" applyFont="1" applyFill="1" applyBorder="1" applyAlignment="1">
      <alignment horizontal="left" vertical="center"/>
    </xf>
    <xf numFmtId="0" fontId="2" fillId="0" borderId="29" xfId="0" applyFont="1" applyBorder="1"/>
    <xf numFmtId="20" fontId="1" fillId="4" borderId="30" xfId="0" applyNumberFormat="1" applyFont="1" applyFill="1" applyBorder="1" applyAlignment="1">
      <alignment horizontal="center" vertical="center"/>
    </xf>
    <xf numFmtId="0" fontId="1" fillId="4" borderId="31" xfId="0" applyFont="1" applyFill="1" applyBorder="1" applyAlignment="1">
      <alignment horizontal="center" vertical="center"/>
    </xf>
    <xf numFmtId="0" fontId="1" fillId="4" borderId="32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176" fontId="13" fillId="0" borderId="0" xfId="0" applyNumberFormat="1" applyFont="1" applyAlignment="1">
      <alignment horizontal="right" vertical="center"/>
    </xf>
    <xf numFmtId="0" fontId="14" fillId="0" borderId="0" xfId="0" applyFont="1"/>
    <xf numFmtId="0" fontId="12" fillId="0" borderId="0" xfId="0" applyFont="1" applyAlignment="1">
      <alignment horizontal="left" vertical="center"/>
    </xf>
    <xf numFmtId="0" fontId="11" fillId="0" borderId="0" xfId="0" applyFont="1"/>
    <xf numFmtId="0" fontId="1" fillId="3" borderId="22" xfId="0" applyFont="1" applyFill="1" applyBorder="1" applyAlignment="1">
      <alignment horizontal="left" vertical="center"/>
    </xf>
    <xf numFmtId="0" fontId="2" fillId="0" borderId="23" xfId="0" applyFont="1" applyBorder="1"/>
    <xf numFmtId="20" fontId="1" fillId="4" borderId="24" xfId="0" applyNumberFormat="1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</cellXfs>
  <cellStyles count="1">
    <cellStyle name="標準" xfId="0" builtinId="0"/>
  </cellStyles>
  <dxfs count="29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4</xdr:row>
          <xdr:rowOff>19050</xdr:rowOff>
        </xdr:from>
        <xdr:to>
          <xdr:col>8</xdr:col>
          <xdr:colOff>695325</xdr:colOff>
          <xdr:row>5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所定時間設定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5</xdr:row>
          <xdr:rowOff>161925</xdr:rowOff>
        </xdr:from>
        <xdr:to>
          <xdr:col>8</xdr:col>
          <xdr:colOff>695325</xdr:colOff>
          <xdr:row>7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所定時間クリア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35719</xdr:colOff>
      <xdr:row>0</xdr:row>
      <xdr:rowOff>130968</xdr:rowOff>
    </xdr:from>
    <xdr:to>
      <xdr:col>12</xdr:col>
      <xdr:colOff>750094</xdr:colOff>
      <xdr:row>1</xdr:row>
      <xdr:rowOff>202406</xdr:rowOff>
    </xdr:to>
    <xdr:sp macro="" textlink="">
      <xdr:nvSpPr>
        <xdr:cNvPr id="3" name="吹き出し: 折線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5381625" y="130968"/>
          <a:ext cx="2500313" cy="321469"/>
        </a:xfrm>
        <a:prstGeom prst="borderCallout2">
          <a:avLst>
            <a:gd name="adj1" fmla="val 20711"/>
            <a:gd name="adj2" fmla="val -619"/>
            <a:gd name="adj3" fmla="val 18750"/>
            <a:gd name="adj4" fmla="val -16667"/>
            <a:gd name="adj5" fmla="val 128186"/>
            <a:gd name="adj6" fmla="val -81824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作業月を</a:t>
          </a:r>
          <a:r>
            <a:rPr kumimoji="1" lang="ja-JP" altLang="en-US" sz="1100" b="1">
              <a:solidFill>
                <a:srgbClr val="FF0000"/>
              </a:solidFill>
            </a:rPr>
            <a:t>○○○○</a:t>
          </a:r>
          <a:r>
            <a:rPr kumimoji="1" lang="en-US" altLang="ja-JP" sz="1100" b="1">
              <a:solidFill>
                <a:srgbClr val="FF0000"/>
              </a:solidFill>
            </a:rPr>
            <a:t>/</a:t>
          </a:r>
          <a:r>
            <a:rPr kumimoji="1" lang="ja-JP" altLang="en-US" sz="1100" b="1">
              <a:solidFill>
                <a:srgbClr val="FF0000"/>
              </a:solidFill>
            </a:rPr>
            <a:t>○○</a:t>
          </a:r>
          <a:r>
            <a:rPr kumimoji="1" lang="ja-JP" altLang="en-US" sz="1100" b="1"/>
            <a:t>月で入力</a:t>
          </a:r>
        </a:p>
      </xdr:txBody>
    </xdr:sp>
    <xdr:clientData/>
  </xdr:twoCellAnchor>
  <xdr:twoCellAnchor>
    <xdr:from>
      <xdr:col>8</xdr:col>
      <xdr:colOff>171451</xdr:colOff>
      <xdr:row>2</xdr:row>
      <xdr:rowOff>78580</xdr:rowOff>
    </xdr:from>
    <xdr:to>
      <xdr:col>10</xdr:col>
      <xdr:colOff>188119</xdr:colOff>
      <xdr:row>4</xdr:row>
      <xdr:rowOff>88106</xdr:rowOff>
    </xdr:to>
    <xdr:sp macro="" textlink="">
      <xdr:nvSpPr>
        <xdr:cNvPr id="4" name="吹き出し: 折線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>
        <a:xfrm>
          <a:off x="3638551" y="564355"/>
          <a:ext cx="1616868" cy="352426"/>
        </a:xfrm>
        <a:prstGeom prst="borderCallout2">
          <a:avLst>
            <a:gd name="adj1" fmla="val 7198"/>
            <a:gd name="adj2" fmla="val 11752"/>
            <a:gd name="adj3" fmla="val 18750"/>
            <a:gd name="adj4" fmla="val -16667"/>
            <a:gd name="adj5" fmla="val 88841"/>
            <a:gd name="adj6" fmla="val -115288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所定時間を入力</a:t>
          </a:r>
        </a:p>
      </xdr:txBody>
    </xdr:sp>
    <xdr:clientData/>
  </xdr:twoCellAnchor>
  <xdr:twoCellAnchor>
    <xdr:from>
      <xdr:col>25</xdr:col>
      <xdr:colOff>411956</xdr:colOff>
      <xdr:row>6</xdr:row>
      <xdr:rowOff>161923</xdr:rowOff>
    </xdr:from>
    <xdr:to>
      <xdr:col>28</xdr:col>
      <xdr:colOff>345281</xdr:colOff>
      <xdr:row>9</xdr:row>
      <xdr:rowOff>83343</xdr:rowOff>
    </xdr:to>
    <xdr:sp macro="" textlink="">
      <xdr:nvSpPr>
        <xdr:cNvPr id="5" name="吹き出し: 折線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11032331" y="1531142"/>
          <a:ext cx="2278856" cy="528639"/>
        </a:xfrm>
        <a:prstGeom prst="borderCallout2">
          <a:avLst>
            <a:gd name="adj1" fmla="val 20711"/>
            <a:gd name="adj2" fmla="val -619"/>
            <a:gd name="adj3" fmla="val 18750"/>
            <a:gd name="adj4" fmla="val -16667"/>
            <a:gd name="adj5" fmla="val 289568"/>
            <a:gd name="adj6" fmla="val -301931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作業報告書は</a:t>
          </a:r>
          <a:r>
            <a:rPr kumimoji="1" lang="ja-JP" altLang="en-US" sz="1100" b="1">
              <a:solidFill>
                <a:schemeClr val="accent6">
                  <a:lumMod val="60000"/>
                  <a:lumOff val="40000"/>
                </a:schemeClr>
              </a:solidFill>
            </a:rPr>
            <a:t>計算式</a:t>
          </a:r>
          <a:r>
            <a:rPr kumimoji="1" lang="ja-JP" altLang="en-US" sz="1100" b="1"/>
            <a:t>を組込みしているので、枠内の白色部分を記入</a:t>
          </a:r>
        </a:p>
      </xdr:txBody>
    </xdr:sp>
    <xdr:clientData/>
  </xdr:twoCellAnchor>
  <xdr:twoCellAnchor>
    <xdr:from>
      <xdr:col>26</xdr:col>
      <xdr:colOff>292895</xdr:colOff>
      <xdr:row>16</xdr:row>
      <xdr:rowOff>90485</xdr:rowOff>
    </xdr:from>
    <xdr:to>
      <xdr:col>29</xdr:col>
      <xdr:colOff>654844</xdr:colOff>
      <xdr:row>20</xdr:row>
      <xdr:rowOff>154781</xdr:rowOff>
    </xdr:to>
    <xdr:sp macro="" textlink="">
      <xdr:nvSpPr>
        <xdr:cNvPr id="6" name="吹き出し: 折線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11044239" y="3686173"/>
          <a:ext cx="3267074" cy="969171"/>
        </a:xfrm>
        <a:prstGeom prst="borderCallout2">
          <a:avLst>
            <a:gd name="adj1" fmla="val 20711"/>
            <a:gd name="adj2" fmla="val -619"/>
            <a:gd name="adj3" fmla="val 18750"/>
            <a:gd name="adj4" fmla="val -16667"/>
            <a:gd name="adj5" fmla="val -16498"/>
            <a:gd name="adj6" fmla="val -90895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深夜勤務時間　　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22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00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00</a:t>
          </a:r>
        </a:p>
        <a:p>
          <a:endParaRPr lang="ja-JP" altLang="ja-JP">
            <a:effectLst/>
          </a:endParaRPr>
        </a:p>
        <a:p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シフト勤務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が対象外</a:t>
          </a:r>
          <a:endParaRPr kumimoji="1" lang="en-US" altLang="ja-JP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深夜勤務時間をご自身で計算して</a:t>
          </a:r>
          <a:r>
            <a:rPr kumimoji="1" lang="en-US" altLang="ja-JP" sz="1100" b="1">
              <a:solidFill>
                <a:schemeClr val="accent6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kumimoji="1" lang="ja-JP" altLang="ja-JP" sz="1100" b="1">
              <a:solidFill>
                <a:schemeClr val="accent6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列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に記入</a:t>
          </a:r>
          <a:endParaRPr lang="ja-JP" altLang="ja-JP">
            <a:effectLst/>
          </a:endParaRPr>
        </a:p>
      </xdr:txBody>
    </xdr:sp>
    <xdr:clientData/>
  </xdr:twoCellAnchor>
  <xdr:twoCellAnchor>
    <xdr:from>
      <xdr:col>25</xdr:col>
      <xdr:colOff>278606</xdr:colOff>
      <xdr:row>24</xdr:row>
      <xdr:rowOff>183352</xdr:rowOff>
    </xdr:from>
    <xdr:to>
      <xdr:col>29</xdr:col>
      <xdr:colOff>1000125</xdr:colOff>
      <xdr:row>31</xdr:row>
      <xdr:rowOff>214312</xdr:rowOff>
    </xdr:to>
    <xdr:sp macro="" textlink="">
      <xdr:nvSpPr>
        <xdr:cNvPr id="7" name="吹き出し: 折線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10434637" y="5588790"/>
          <a:ext cx="4221957" cy="1614491"/>
        </a:xfrm>
        <a:prstGeom prst="borderCallout2">
          <a:avLst>
            <a:gd name="adj1" fmla="val 20711"/>
            <a:gd name="adj2" fmla="val -619"/>
            <a:gd name="adj3" fmla="val 18750"/>
            <a:gd name="adj4" fmla="val -16667"/>
            <a:gd name="adj5" fmla="val -30213"/>
            <a:gd name="adj6" fmla="val -98867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有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休及び欠勤の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判断標準：</a:t>
          </a:r>
          <a:endParaRPr kumimoji="1" lang="en-US" altLang="ja-JP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・欠勤時間＜＝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2H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の場合、欠勤時間数で控除するか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0.5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日有休で申請するか</a:t>
          </a:r>
          <a:endParaRPr kumimoji="1" lang="en-US" altLang="ja-JP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2H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＜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欠勤時間＜＝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4H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の場合、欠勤時間数で控除するか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0.5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日有休で申請するか</a:t>
          </a:r>
          <a:endParaRPr kumimoji="1" lang="en-US" altLang="ja-JP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4H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＜欠勤時間＜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8H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の場合、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日有休で申請する</a:t>
          </a:r>
          <a:endParaRPr lang="ja-JP" altLang="ja-JP">
            <a:effectLst/>
          </a:endParaRPr>
        </a:p>
        <a:p>
          <a:endParaRPr lang="ja-JP" altLang="ja-JP">
            <a:effectLst/>
          </a:endParaRPr>
        </a:p>
      </xdr:txBody>
    </xdr:sp>
    <xdr:clientData/>
  </xdr:twoCellAnchor>
  <xdr:twoCellAnchor>
    <xdr:from>
      <xdr:col>26</xdr:col>
      <xdr:colOff>183355</xdr:colOff>
      <xdr:row>10</xdr:row>
      <xdr:rowOff>147634</xdr:rowOff>
    </xdr:from>
    <xdr:to>
      <xdr:col>28</xdr:col>
      <xdr:colOff>711993</xdr:colOff>
      <xdr:row>13</xdr:row>
      <xdr:rowOff>202405</xdr:rowOff>
    </xdr:to>
    <xdr:sp macro="" textlink="">
      <xdr:nvSpPr>
        <xdr:cNvPr id="8" name="吹き出し: 折線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>
        <a:xfrm>
          <a:off x="11149011" y="2505072"/>
          <a:ext cx="2278857" cy="733427"/>
        </a:xfrm>
        <a:prstGeom prst="borderCallout2">
          <a:avLst>
            <a:gd name="adj1" fmla="val 20711"/>
            <a:gd name="adj2" fmla="val -619"/>
            <a:gd name="adj3" fmla="val 18750"/>
            <a:gd name="adj4" fmla="val -16667"/>
            <a:gd name="adj5" fmla="val 122902"/>
            <a:gd name="adj6" fmla="val -48012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〇日出勤分の代休と記入</a:t>
          </a:r>
          <a:endParaRPr kumimoji="1" lang="en-US" altLang="ja-JP" sz="1100" b="1"/>
        </a:p>
        <a:p>
          <a:pPr algn="l"/>
          <a:r>
            <a:rPr kumimoji="1" lang="ja-JP" altLang="en-US" sz="1100" b="1"/>
            <a:t>シフト制など特別な状況があれば、ここにご記入ください。</a:t>
          </a:r>
        </a:p>
      </xdr:txBody>
    </xdr:sp>
    <xdr:clientData/>
  </xdr:twoCellAnchor>
  <xdr:twoCellAnchor>
    <xdr:from>
      <xdr:col>29</xdr:col>
      <xdr:colOff>1035844</xdr:colOff>
      <xdr:row>0</xdr:row>
      <xdr:rowOff>119062</xdr:rowOff>
    </xdr:from>
    <xdr:to>
      <xdr:col>34</xdr:col>
      <xdr:colOff>971550</xdr:colOff>
      <xdr:row>25</xdr:row>
      <xdr:rowOff>154781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06625" y="119062"/>
          <a:ext cx="5710238" cy="57864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超過勤務手当について：</a:t>
          </a:r>
          <a:endParaRPr kumimoji="1" lang="en-US" altLang="ja-JP" sz="1100"/>
        </a:p>
        <a:p>
          <a:pPr algn="l"/>
          <a:endParaRPr kumimoji="1" lang="en-US" altLang="ja-JP" sz="1100"/>
        </a:p>
        <a:p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労基法に基づいて作成した「就業規則」の第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34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条に基づき、</a:t>
          </a:r>
        </a:p>
        <a:p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所定労働時間＋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時間（みなし残業時間）　を超えた場合は超過勤務手当を支払います。</a:t>
          </a: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ja-JP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http://www.hori-law.jp/category/1429069.html</a:t>
          </a:r>
          <a:endParaRPr lang="ja-JP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ja-JP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	22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時まで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時間当たり基本給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超過勤務時間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1.25</a:t>
          </a:r>
          <a:endParaRPr lang="ja-JP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2.	22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時‐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時間当たり基本給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超過勤務時間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（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＋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0.25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）</a:t>
          </a: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3.	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法定休日（日曜日）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時間当たり基本給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超過勤務時間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（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＋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0.1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）</a:t>
          </a: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ja-JP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今までは、「作業報告書」の深夜残業時間や、土曜出勤時間を×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で集計し、</a:t>
          </a:r>
        </a:p>
        <a:p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さらにこれ×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1875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円で残業代を計算していました。</a:t>
          </a:r>
        </a:p>
        <a:p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つまり、二重×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で計算し、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2019</a:t>
          </a: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年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月まで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社員に有利を与えていました。</a:t>
          </a:r>
        </a:p>
        <a:p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江橋さんに確認したら、今までの分はいいとして、</a:t>
          </a:r>
          <a:r>
            <a:rPr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今後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正しい計算方法で実施していくとのことです。</a:t>
          </a: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ja-JP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Biz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の給与計算式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↓</a:t>
          </a:r>
          <a:endParaRPr lang="ja-JP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4.	22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時まで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残業時給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超過勤務時間　</a:t>
          </a: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5.	22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時‐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実働き時間に計算してるため、差額分（残業時給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超過勤務時間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0.25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）だけを払います。</a:t>
          </a:r>
        </a:p>
        <a:p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6.	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法定休日（日曜日）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合計の時間に計算してるため、差額分（残業時給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超過勤務時間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×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0.1</a:t>
          </a:r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）だけを払います。</a:t>
          </a:r>
        </a:p>
        <a:p>
          <a:r>
            <a:rPr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※①②③＝④⑤⑥</a:t>
          </a:r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25</xdr:col>
      <xdr:colOff>240508</xdr:colOff>
      <xdr:row>33</xdr:row>
      <xdr:rowOff>157160</xdr:rowOff>
    </xdr:from>
    <xdr:to>
      <xdr:col>30</xdr:col>
      <xdr:colOff>15717</xdr:colOff>
      <xdr:row>48</xdr:row>
      <xdr:rowOff>61912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10610852" y="7717629"/>
          <a:ext cx="4430553" cy="31432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振替休暇と代休の区別：</a:t>
          </a:r>
          <a:endParaRPr kumimoji="1" lang="en-US" altLang="ja-JP" sz="1100"/>
        </a:p>
        <a:p>
          <a:pPr algn="l"/>
          <a:endParaRPr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振替休日とは、休日労働する日の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前日までに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、振り替えるべき日を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指定して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、対象となる従業員に伝え、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休日と労働日を入れ替えることです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kumimoji="1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代休とは、休日労働した従業員に対して、休日労働した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後に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、日を指定して、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代わりの休日を与えること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です。</a:t>
          </a:r>
          <a:endParaRPr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kumimoji="1"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振替休日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・・・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事前に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手続き。割増賃金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不要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代休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・・・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事後に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手続き。割増賃金</a:t>
          </a:r>
          <a:r>
            <a:rPr lang="ja-JP" altLang="en-US" sz="11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必要</a:t>
          </a:r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参考サイト：</a:t>
          </a:r>
          <a:r>
            <a:rPr lang="en-US" altLang="ja-JP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https://www.mhlw.go.jp/bunya/roudoukijun/faq_kijyunhou_12.html</a:t>
          </a:r>
        </a:p>
        <a:p>
          <a:endParaRPr lang="en-US" altLang="ja-JP" sz="1100" b="0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 sz="1100" b="1" i="0" u="none" strike="noStrik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両方とも</a:t>
          </a:r>
          <a:r>
            <a:rPr lang="ja-JP" altLang="ja-JP" sz="1100" b="1" i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事前</a:t>
          </a:r>
          <a:r>
            <a:rPr lang="ja-JP" altLang="en-US" sz="1100" b="1" i="0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にご</a:t>
          </a:r>
          <a:r>
            <a:rPr lang="ja-JP" altLang="en-US" sz="1100" b="1" i="0" u="none" strike="noStrik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連絡をください。有休申請と同じ流れで申請するようお願いします。</a:t>
          </a:r>
        </a:p>
        <a:p>
          <a:pPr algn="l"/>
          <a:endParaRPr kumimoji="1" lang="en-US" altLang="ja-JP" sz="1100"/>
        </a:p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4</xdr:row>
          <xdr:rowOff>76200</xdr:rowOff>
        </xdr:from>
        <xdr:to>
          <xdr:col>8</xdr:col>
          <xdr:colOff>628650</xdr:colOff>
          <xdr:row>5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所定時間設定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209550</xdr:rowOff>
        </xdr:from>
        <xdr:to>
          <xdr:col>8</xdr:col>
          <xdr:colOff>628650</xdr:colOff>
          <xdr:row>6</xdr:row>
          <xdr:rowOff>247650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所定時間クリア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674686</xdr:colOff>
      <xdr:row>2</xdr:row>
      <xdr:rowOff>15874</xdr:rowOff>
    </xdr:from>
    <xdr:to>
      <xdr:col>14</xdr:col>
      <xdr:colOff>1309687</xdr:colOff>
      <xdr:row>3</xdr:row>
      <xdr:rowOff>47625</xdr:rowOff>
    </xdr:to>
    <xdr:sp macro="" textlink="">
      <xdr:nvSpPr>
        <xdr:cNvPr id="13" name="吹き出し: 折線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5079999" y="500062"/>
          <a:ext cx="4206876" cy="317501"/>
        </a:xfrm>
        <a:prstGeom prst="borderCallout2">
          <a:avLst>
            <a:gd name="adj1" fmla="val 20711"/>
            <a:gd name="adj2" fmla="val -619"/>
            <a:gd name="adj3" fmla="val 71250"/>
            <a:gd name="adj4" fmla="val -14074"/>
            <a:gd name="adj5" fmla="val 240686"/>
            <a:gd name="adj6" fmla="val -31061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所定時間により、始業、終業、休憩時間を一括設定又はクリア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B1009"/>
  <sheetViews>
    <sheetView tabSelected="1" view="pageBreakPreview" zoomScale="80" zoomScaleNormal="80" zoomScaleSheetLayoutView="80" workbookViewId="0"/>
  </sheetViews>
  <sheetFormatPr defaultColWidth="15.125" defaultRowHeight="13.5"/>
  <cols>
    <col min="1" max="1" width="7.125" customWidth="1"/>
    <col min="2" max="2" width="4.625" customWidth="1"/>
    <col min="3" max="3" width="4.75" customWidth="1"/>
    <col min="4" max="4" width="5" customWidth="1"/>
    <col min="5" max="5" width="8.875" customWidth="1"/>
    <col min="6" max="6" width="9" customWidth="1"/>
    <col min="7" max="7" width="9.125" customWidth="1"/>
    <col min="8" max="8" width="7.75" hidden="1" customWidth="1"/>
    <col min="9" max="9" width="12" customWidth="1"/>
    <col min="10" max="10" width="11.875" customWidth="1"/>
    <col min="11" max="11" width="9.375" customWidth="1"/>
    <col min="12" max="12" width="9" customWidth="1"/>
    <col min="13" max="14" width="9.375" customWidth="1"/>
    <col min="15" max="15" width="18.875" customWidth="1"/>
    <col min="16" max="16" width="6.875" customWidth="1"/>
    <col min="17" max="17" width="12.25" hidden="1" customWidth="1"/>
    <col min="18" max="18" width="14" hidden="1" customWidth="1"/>
    <col min="19" max="19" width="12.25" hidden="1" customWidth="1"/>
    <col min="20" max="20" width="11.75" hidden="1" customWidth="1"/>
    <col min="21" max="21" width="10.125" hidden="1" customWidth="1"/>
    <col min="22" max="22" width="11.875" hidden="1" customWidth="1"/>
    <col min="23" max="23" width="10.875" hidden="1" customWidth="1"/>
    <col min="24" max="24" width="18.5" hidden="1" customWidth="1"/>
    <col min="25" max="25" width="26.375" customWidth="1"/>
    <col min="26" max="27" width="7.75" customWidth="1"/>
  </cols>
  <sheetData>
    <row r="1" spans="1:28" ht="19.5" customHeight="1">
      <c r="A1" s="1"/>
      <c r="B1" s="1"/>
      <c r="C1" s="1"/>
      <c r="D1" s="1"/>
      <c r="E1" s="1"/>
      <c r="F1" s="1"/>
      <c r="G1" s="1"/>
      <c r="H1" s="1"/>
      <c r="I1" s="1"/>
      <c r="J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8" ht="18.75" customHeight="1">
      <c r="A2" s="1"/>
      <c r="B2" s="1"/>
      <c r="C2" s="1"/>
      <c r="D2" s="1"/>
      <c r="E2" s="1"/>
      <c r="F2" s="1"/>
      <c r="G2" s="1"/>
      <c r="H2" s="1"/>
      <c r="I2" s="1"/>
      <c r="J2" s="1" t="s">
        <v>0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8" ht="31.5" customHeight="1">
      <c r="A3" s="1"/>
      <c r="B3" s="104">
        <v>43678</v>
      </c>
      <c r="C3" s="104"/>
      <c r="D3" s="104"/>
      <c r="E3" s="104"/>
      <c r="F3" s="104"/>
      <c r="G3" s="104"/>
      <c r="H3" s="104"/>
      <c r="I3" s="104"/>
      <c r="J3" s="53" t="s">
        <v>61</v>
      </c>
      <c r="K3" s="28"/>
      <c r="L3" s="28"/>
      <c r="M3" s="28"/>
      <c r="N3" s="28"/>
      <c r="O3" s="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8" ht="27" customHeight="1" thickBo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8" s="30" customFormat="1" ht="21" customHeight="1">
      <c r="A5" s="29"/>
      <c r="B5" s="105" t="s">
        <v>66</v>
      </c>
      <c r="C5" s="106"/>
      <c r="D5" s="107"/>
      <c r="E5" s="124">
        <v>0.375</v>
      </c>
      <c r="F5" s="125"/>
      <c r="G5" s="51"/>
      <c r="H5" s="51"/>
      <c r="I5" s="51"/>
      <c r="J5" s="51"/>
      <c r="K5" s="29"/>
      <c r="L5" s="87" t="s">
        <v>75</v>
      </c>
      <c r="M5" s="88"/>
      <c r="N5" s="93" t="s">
        <v>78</v>
      </c>
      <c r="O5" s="94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</row>
    <row r="6" spans="1:28" s="30" customFormat="1" ht="21" customHeight="1">
      <c r="A6" s="29"/>
      <c r="B6" s="108" t="s">
        <v>67</v>
      </c>
      <c r="C6" s="109"/>
      <c r="D6" s="110"/>
      <c r="E6" s="126">
        <v>0.75</v>
      </c>
      <c r="F6" s="127"/>
      <c r="G6" s="51"/>
      <c r="H6" s="51"/>
      <c r="I6" s="51"/>
      <c r="J6" s="51"/>
      <c r="K6" s="29"/>
      <c r="L6" s="89" t="s">
        <v>76</v>
      </c>
      <c r="M6" s="90"/>
      <c r="N6" s="91" t="s">
        <v>79</v>
      </c>
      <c r="O6" s="92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</row>
    <row r="7" spans="1:28" s="30" customFormat="1" ht="21" customHeight="1" thickBot="1">
      <c r="A7" s="29"/>
      <c r="B7" s="121" t="s">
        <v>69</v>
      </c>
      <c r="C7" s="122"/>
      <c r="D7" s="123"/>
      <c r="E7" s="128">
        <v>4.1666666666666664E-2</v>
      </c>
      <c r="F7" s="129"/>
      <c r="G7" s="51"/>
      <c r="H7" s="51"/>
      <c r="I7" s="51"/>
      <c r="J7" s="51"/>
      <c r="K7" s="52"/>
      <c r="L7" s="100" t="s">
        <v>77</v>
      </c>
      <c r="M7" s="101"/>
      <c r="N7" s="102" t="s">
        <v>80</v>
      </c>
      <c r="O7" s="103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</row>
    <row r="8" spans="1:28" ht="21" customHeight="1">
      <c r="A8" s="1"/>
      <c r="B8" s="50"/>
      <c r="C8" s="5"/>
      <c r="D8" s="49"/>
      <c r="E8" s="49"/>
      <c r="F8" s="49"/>
      <c r="G8" s="5"/>
      <c r="H8" s="5"/>
      <c r="I8" s="5"/>
      <c r="J8" s="5"/>
      <c r="K8" s="22"/>
      <c r="L8" s="52" t="s">
        <v>60</v>
      </c>
      <c r="M8" s="22"/>
      <c r="N8" s="22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 ht="22.5" customHeight="1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8" s="34" customFormat="1" ht="20.100000000000001" customHeight="1">
      <c r="A10" s="31"/>
      <c r="B10" s="117" t="s">
        <v>3</v>
      </c>
      <c r="C10" s="119" t="s">
        <v>4</v>
      </c>
      <c r="D10" s="68" t="s">
        <v>14</v>
      </c>
      <c r="E10" s="115" t="s">
        <v>5</v>
      </c>
      <c r="F10" s="115" t="s">
        <v>6</v>
      </c>
      <c r="G10" s="115" t="s">
        <v>68</v>
      </c>
      <c r="H10" s="32" t="s">
        <v>7</v>
      </c>
      <c r="I10" s="32" t="s">
        <v>18</v>
      </c>
      <c r="J10" s="68" t="s">
        <v>20</v>
      </c>
      <c r="K10" s="70" t="s">
        <v>11</v>
      </c>
      <c r="L10" s="70" t="s">
        <v>13</v>
      </c>
      <c r="M10" s="95" t="s">
        <v>55</v>
      </c>
      <c r="N10" s="96" t="s">
        <v>70</v>
      </c>
      <c r="O10" s="98" t="s">
        <v>32</v>
      </c>
      <c r="P10" s="33"/>
      <c r="T10" s="31"/>
      <c r="V10" s="31"/>
      <c r="W10" s="31"/>
      <c r="X10" s="31"/>
      <c r="Y10" s="31"/>
      <c r="Z10" s="31"/>
      <c r="AA10" s="31"/>
      <c r="AB10" s="31"/>
    </row>
    <row r="11" spans="1:28" s="34" customFormat="1" ht="20.100000000000001" customHeight="1">
      <c r="A11" s="31"/>
      <c r="B11" s="118"/>
      <c r="C11" s="120"/>
      <c r="D11" s="69"/>
      <c r="E11" s="116"/>
      <c r="F11" s="116"/>
      <c r="G11" s="116"/>
      <c r="H11" s="35" t="s">
        <v>8</v>
      </c>
      <c r="I11" s="35" t="s">
        <v>8</v>
      </c>
      <c r="J11" s="69"/>
      <c r="K11" s="71"/>
      <c r="L11" s="71"/>
      <c r="M11" s="71"/>
      <c r="N11" s="97"/>
      <c r="O11" s="99"/>
      <c r="P11" s="33"/>
      <c r="Q11" s="34" t="s">
        <v>21</v>
      </c>
      <c r="R11" s="34" t="s">
        <v>22</v>
      </c>
      <c r="S11" s="34" t="s">
        <v>24</v>
      </c>
      <c r="T11" s="31" t="s">
        <v>25</v>
      </c>
      <c r="U11" s="34" t="s">
        <v>30</v>
      </c>
      <c r="V11" s="31" t="s">
        <v>31</v>
      </c>
      <c r="W11" s="31" t="s">
        <v>26</v>
      </c>
      <c r="X11" s="31" t="s">
        <v>27</v>
      </c>
      <c r="Y11" s="31"/>
      <c r="Z11" s="31"/>
      <c r="AA11" s="31"/>
      <c r="AB11" s="31"/>
    </row>
    <row r="12" spans="1:28" s="34" customFormat="1" ht="24" customHeight="1">
      <c r="A12" s="33"/>
      <c r="B12" s="37">
        <f>B3</f>
        <v>43678</v>
      </c>
      <c r="C12" s="38" t="str">
        <f>TEXT(B12,"aaa")</f>
        <v>木</v>
      </c>
      <c r="D12" s="39" t="str">
        <f>IF(ISERROR(VLOOKUP(B12,祝日!$A:$B,2,FALSE)),"",VLOOKUP(B12,祝日!$A:$B,2,FALSE))</f>
        <v/>
      </c>
      <c r="E12" s="40"/>
      <c r="F12" s="40"/>
      <c r="G12" s="40"/>
      <c r="H12" s="41" t="str">
        <f t="shared" ref="H12:H42" si="0">IF(IF(E12="","",IF(F12&lt;E12,F12+X12-E12-G12,F12-E12-G12))=0,0,IF(E12="","",IF(F12="","",IF(F12&lt;E12,F12+X12-E12-G12,F12-E12-G12))))</f>
        <v/>
      </c>
      <c r="I12" s="39" t="str">
        <f>IF(TEXT(H12,"h:mm")="0:00",0,IF(TEXT(C12,"aaa")="日",IF(OR(E12="",F12=""),"",H12*24),IF(P12="abc",IF(OR(E12="",F12=""),"",H12*24),IF(OR(E12="",F12=""),"",H12*24))))</f>
        <v/>
      </c>
      <c r="J12" s="67" t="str">
        <f t="shared" ref="J12:J42" si="1">IF(OR(I12&lt;=8,I12=""),"",I12-8)</f>
        <v/>
      </c>
      <c r="K12" s="42"/>
      <c r="L12" s="42"/>
      <c r="M12" s="43"/>
      <c r="N12" s="56"/>
      <c r="O12" s="57"/>
      <c r="P12" s="33"/>
      <c r="Q12" s="34">
        <f t="shared" ref="Q12:Q42" si="2">IF(E12="",0,1)</f>
        <v>0</v>
      </c>
      <c r="R12" s="34">
        <f t="shared" ref="R12:R42" si="3">IF(AND(TEXT(C12,"aaa")&lt;&gt;"土",TEXT(C12,"aaa")&lt;&gt;"日",D12&lt;&gt;"祝日",TEXT(C12,"aaa")&lt;&gt;""),1,0)</f>
        <v>1</v>
      </c>
      <c r="S12" s="34">
        <f>COUNTIF(K12,"1日")</f>
        <v>0</v>
      </c>
      <c r="T12" s="33">
        <f>COUNTIF(K12,"0.5日")</f>
        <v>0</v>
      </c>
      <c r="U12" s="34">
        <f>COUNTIF(L12,"1日")</f>
        <v>0</v>
      </c>
      <c r="V12" s="33">
        <f>COUNTIF(L12,"0.5日")</f>
        <v>0</v>
      </c>
      <c r="W12" s="33">
        <f>COUNTIF(J12,"代休")</f>
        <v>0</v>
      </c>
      <c r="X12" s="40">
        <v>1</v>
      </c>
      <c r="Y12" s="31"/>
      <c r="Z12" s="33"/>
      <c r="AA12" s="33"/>
      <c r="AB12" s="33"/>
    </row>
    <row r="13" spans="1:28" s="34" customFormat="1" ht="24" customHeight="1">
      <c r="A13" s="33"/>
      <c r="B13" s="37">
        <f>IF(ISERROR(DATEVALUE(YEAR(B12)&amp;"/"&amp;MONTH(B12)&amp;"/"&amp;DAY(B12)+1)),"",DATEVALUE(YEAR(B12)&amp;"/"&amp;MONTH(B12)&amp;"/"&amp;DAY(B12)+1))</f>
        <v>43679</v>
      </c>
      <c r="C13" s="38" t="str">
        <f t="shared" ref="C13:C42" si="4">TEXT(B13,"aaa")</f>
        <v>金</v>
      </c>
      <c r="D13" s="39" t="str">
        <f>IF(ISERROR(VLOOKUP(B13,祝日!$A:$B,2,FALSE)),"",VLOOKUP(B13,祝日!$A:$B,2,FALSE))</f>
        <v/>
      </c>
      <c r="E13" s="40"/>
      <c r="F13" s="40"/>
      <c r="G13" s="40"/>
      <c r="H13" s="41" t="str">
        <f t="shared" si="0"/>
        <v/>
      </c>
      <c r="I13" s="39" t="str">
        <f t="shared" ref="I13:I42" si="5">IF(TEXT(H13,"h:mm")="0:00",0,IF(TEXT(C13,"aaa")="日",IF(OR(E13="",F13=""),"",H13*24),IF(P13="abc",IF(OR(E13="",F13=""),"",H13*24),IF(OR(E13="",F13=""),"",H13*24))))</f>
        <v/>
      </c>
      <c r="J13" s="67" t="str">
        <f t="shared" si="1"/>
        <v/>
      </c>
      <c r="K13" s="42"/>
      <c r="L13" s="42"/>
      <c r="M13" s="43"/>
      <c r="N13" s="56"/>
      <c r="O13" s="57"/>
      <c r="P13" s="31"/>
      <c r="Q13" s="34">
        <f t="shared" si="2"/>
        <v>0</v>
      </c>
      <c r="R13" s="34">
        <f t="shared" si="3"/>
        <v>1</v>
      </c>
      <c r="S13" s="34">
        <f t="shared" ref="S13:S42" si="6">COUNTIF(K13,"1日")</f>
        <v>0</v>
      </c>
      <c r="T13" s="33">
        <f t="shared" ref="T13:T42" si="7">COUNTIF(K13,"0.5日")</f>
        <v>0</v>
      </c>
      <c r="U13" s="34">
        <f t="shared" ref="U13:U42" si="8">COUNTIF(L13,"1日")</f>
        <v>0</v>
      </c>
      <c r="V13" s="33">
        <f t="shared" ref="V13:V42" si="9">COUNTIF(L13,"0.5日")</f>
        <v>0</v>
      </c>
      <c r="W13" s="33">
        <f t="shared" ref="W13:W42" si="10">COUNTIF(J13,"代休")</f>
        <v>0</v>
      </c>
      <c r="X13" s="40">
        <v>1</v>
      </c>
      <c r="Y13" s="31"/>
      <c r="Z13" s="33"/>
      <c r="AA13" s="33"/>
      <c r="AB13" s="44"/>
    </row>
    <row r="14" spans="1:28" s="34" customFormat="1" ht="24" customHeight="1">
      <c r="A14" s="33"/>
      <c r="B14" s="37">
        <f t="shared" ref="B14:B42" si="11">IF(ISERROR(DATEVALUE(YEAR(B13)&amp;"/"&amp;MONTH(B13)&amp;"/"&amp;DAY(B13)+1)),"",DATEVALUE(YEAR(B13)&amp;"/"&amp;MONTH(B13)&amp;"/"&amp;DAY(B13)+1))</f>
        <v>43680</v>
      </c>
      <c r="C14" s="38" t="str">
        <f t="shared" si="4"/>
        <v>土</v>
      </c>
      <c r="D14" s="39" t="str">
        <f>IF(ISERROR(VLOOKUP(B14,祝日!$A:$B,2,FALSE)),"",VLOOKUP(B14,祝日!$A:$B,2,FALSE))</f>
        <v/>
      </c>
      <c r="E14" s="40"/>
      <c r="F14" s="40"/>
      <c r="G14" s="40"/>
      <c r="H14" s="41" t="str">
        <f t="shared" si="0"/>
        <v/>
      </c>
      <c r="I14" s="39" t="str">
        <f t="shared" si="5"/>
        <v/>
      </c>
      <c r="J14" s="67" t="str">
        <f t="shared" si="1"/>
        <v/>
      </c>
      <c r="K14" s="42"/>
      <c r="L14" s="42"/>
      <c r="M14" s="43"/>
      <c r="N14" s="56"/>
      <c r="O14" s="57"/>
      <c r="P14" s="33"/>
      <c r="Q14" s="34">
        <f t="shared" si="2"/>
        <v>0</v>
      </c>
      <c r="R14" s="34">
        <f t="shared" si="3"/>
        <v>0</v>
      </c>
      <c r="S14" s="34">
        <f t="shared" si="6"/>
        <v>0</v>
      </c>
      <c r="T14" s="33">
        <f t="shared" si="7"/>
        <v>0</v>
      </c>
      <c r="U14" s="34">
        <f t="shared" si="8"/>
        <v>0</v>
      </c>
      <c r="V14" s="33">
        <f t="shared" si="9"/>
        <v>0</v>
      </c>
      <c r="W14" s="33">
        <f t="shared" si="10"/>
        <v>0</v>
      </c>
      <c r="X14" s="40">
        <v>1</v>
      </c>
      <c r="Y14" s="31"/>
      <c r="Z14" s="33"/>
      <c r="AA14" s="33"/>
      <c r="AB14" s="33"/>
    </row>
    <row r="15" spans="1:28" s="34" customFormat="1" ht="24" customHeight="1">
      <c r="A15" s="33"/>
      <c r="B15" s="37">
        <f t="shared" si="11"/>
        <v>43681</v>
      </c>
      <c r="C15" s="38" t="str">
        <f t="shared" si="4"/>
        <v>日</v>
      </c>
      <c r="D15" s="39" t="str">
        <f>IF(ISERROR(VLOOKUP(B15,祝日!$A:$B,2,FALSE)),"",VLOOKUP(B15,祝日!$A:$B,2,FALSE))</f>
        <v/>
      </c>
      <c r="E15" s="40"/>
      <c r="F15" s="40"/>
      <c r="G15" s="40"/>
      <c r="H15" s="41" t="str">
        <f t="shared" si="0"/>
        <v/>
      </c>
      <c r="I15" s="39" t="str">
        <f t="shared" si="5"/>
        <v/>
      </c>
      <c r="J15" s="67" t="str">
        <f t="shared" si="1"/>
        <v/>
      </c>
      <c r="K15" s="42"/>
      <c r="L15" s="42"/>
      <c r="M15" s="43"/>
      <c r="N15" s="56"/>
      <c r="O15" s="57"/>
      <c r="P15" s="33"/>
      <c r="Q15" s="34">
        <f t="shared" si="2"/>
        <v>0</v>
      </c>
      <c r="R15" s="34">
        <f t="shared" si="3"/>
        <v>0</v>
      </c>
      <c r="S15" s="34">
        <f t="shared" si="6"/>
        <v>0</v>
      </c>
      <c r="T15" s="33">
        <f t="shared" si="7"/>
        <v>0</v>
      </c>
      <c r="U15" s="34">
        <f t="shared" si="8"/>
        <v>0</v>
      </c>
      <c r="V15" s="33">
        <f t="shared" si="9"/>
        <v>0</v>
      </c>
      <c r="W15" s="33">
        <f t="shared" si="10"/>
        <v>0</v>
      </c>
      <c r="X15" s="40">
        <v>1</v>
      </c>
      <c r="Y15" s="31"/>
      <c r="Z15" s="33"/>
      <c r="AA15" s="33"/>
      <c r="AB15" s="33"/>
    </row>
    <row r="16" spans="1:28" s="34" customFormat="1" ht="24" customHeight="1">
      <c r="A16" s="33"/>
      <c r="B16" s="37">
        <f t="shared" si="11"/>
        <v>43682</v>
      </c>
      <c r="C16" s="38" t="str">
        <f t="shared" si="4"/>
        <v>月</v>
      </c>
      <c r="D16" s="39" t="str">
        <f>IF(ISERROR(VLOOKUP(B16,祝日!$A:$B,2,FALSE)),"",VLOOKUP(B16,祝日!$A:$B,2,FALSE))</f>
        <v/>
      </c>
      <c r="E16" s="40"/>
      <c r="F16" s="40"/>
      <c r="G16" s="40"/>
      <c r="H16" s="41" t="str">
        <f t="shared" si="0"/>
        <v/>
      </c>
      <c r="I16" s="39" t="str">
        <f t="shared" si="5"/>
        <v/>
      </c>
      <c r="J16" s="67" t="str">
        <f t="shared" si="1"/>
        <v/>
      </c>
      <c r="K16" s="42"/>
      <c r="L16" s="42"/>
      <c r="M16" s="43"/>
      <c r="N16" s="56"/>
      <c r="O16" s="57"/>
      <c r="P16" s="33"/>
      <c r="Q16" s="34">
        <f t="shared" si="2"/>
        <v>0</v>
      </c>
      <c r="R16" s="34">
        <f t="shared" si="3"/>
        <v>1</v>
      </c>
      <c r="S16" s="34">
        <f t="shared" si="6"/>
        <v>0</v>
      </c>
      <c r="T16" s="33">
        <f t="shared" si="7"/>
        <v>0</v>
      </c>
      <c r="U16" s="34">
        <f t="shared" si="8"/>
        <v>0</v>
      </c>
      <c r="V16" s="33">
        <f t="shared" si="9"/>
        <v>0</v>
      </c>
      <c r="W16" s="33">
        <f t="shared" si="10"/>
        <v>0</v>
      </c>
      <c r="X16" s="40">
        <v>1</v>
      </c>
      <c r="Y16" s="33"/>
      <c r="Z16" s="33"/>
      <c r="AA16" s="33"/>
      <c r="AB16" s="33"/>
    </row>
    <row r="17" spans="1:28" s="34" customFormat="1" ht="24" customHeight="1">
      <c r="A17" s="33"/>
      <c r="B17" s="37">
        <f t="shared" si="11"/>
        <v>43683</v>
      </c>
      <c r="C17" s="38" t="str">
        <f t="shared" si="4"/>
        <v>火</v>
      </c>
      <c r="D17" s="39" t="str">
        <f>IF(ISERROR(VLOOKUP(B17,祝日!$A:$B,2,FALSE)),"",VLOOKUP(B17,祝日!$A:$B,2,FALSE))</f>
        <v/>
      </c>
      <c r="E17" s="40"/>
      <c r="F17" s="40"/>
      <c r="G17" s="40"/>
      <c r="H17" s="41" t="str">
        <f t="shared" si="0"/>
        <v/>
      </c>
      <c r="I17" s="39" t="str">
        <f t="shared" si="5"/>
        <v/>
      </c>
      <c r="J17" s="67" t="str">
        <f t="shared" si="1"/>
        <v/>
      </c>
      <c r="K17" s="42"/>
      <c r="L17" s="42"/>
      <c r="M17" s="43"/>
      <c r="N17" s="56"/>
      <c r="O17" s="57"/>
      <c r="P17" s="33"/>
      <c r="Q17" s="34">
        <f t="shared" si="2"/>
        <v>0</v>
      </c>
      <c r="R17" s="34">
        <f t="shared" si="3"/>
        <v>1</v>
      </c>
      <c r="S17" s="34">
        <f t="shared" si="6"/>
        <v>0</v>
      </c>
      <c r="T17" s="33">
        <f t="shared" si="7"/>
        <v>0</v>
      </c>
      <c r="U17" s="34">
        <f t="shared" si="8"/>
        <v>0</v>
      </c>
      <c r="V17" s="33">
        <f t="shared" si="9"/>
        <v>0</v>
      </c>
      <c r="W17" s="33">
        <f t="shared" si="10"/>
        <v>0</v>
      </c>
      <c r="X17" s="40">
        <v>1</v>
      </c>
      <c r="Y17" s="33"/>
      <c r="Z17" s="33"/>
      <c r="AA17" s="33"/>
      <c r="AB17" s="33"/>
    </row>
    <row r="18" spans="1:28" s="34" customFormat="1" ht="24" customHeight="1">
      <c r="A18" s="33"/>
      <c r="B18" s="37">
        <f t="shared" si="11"/>
        <v>43684</v>
      </c>
      <c r="C18" s="38" t="str">
        <f t="shared" si="4"/>
        <v>水</v>
      </c>
      <c r="D18" s="39" t="str">
        <f>IF(ISERROR(VLOOKUP(B18,祝日!$A:$B,2,FALSE)),"",VLOOKUP(B18,祝日!$A:$B,2,FALSE))</f>
        <v/>
      </c>
      <c r="E18" s="40"/>
      <c r="F18" s="40"/>
      <c r="G18" s="40"/>
      <c r="H18" s="41" t="str">
        <f t="shared" si="0"/>
        <v/>
      </c>
      <c r="I18" s="39" t="str">
        <f t="shared" si="5"/>
        <v/>
      </c>
      <c r="J18" s="67" t="str">
        <f t="shared" si="1"/>
        <v/>
      </c>
      <c r="K18" s="42"/>
      <c r="L18" s="42"/>
      <c r="M18" s="43"/>
      <c r="N18" s="56"/>
      <c r="O18" s="57"/>
      <c r="P18" s="33"/>
      <c r="Q18" s="34">
        <f t="shared" si="2"/>
        <v>0</v>
      </c>
      <c r="R18" s="34">
        <f t="shared" si="3"/>
        <v>1</v>
      </c>
      <c r="S18" s="34">
        <f t="shared" si="6"/>
        <v>0</v>
      </c>
      <c r="T18" s="33">
        <f t="shared" si="7"/>
        <v>0</v>
      </c>
      <c r="U18" s="34">
        <f t="shared" si="8"/>
        <v>0</v>
      </c>
      <c r="V18" s="33">
        <f t="shared" si="9"/>
        <v>0</v>
      </c>
      <c r="W18" s="33">
        <f t="shared" si="10"/>
        <v>0</v>
      </c>
      <c r="X18" s="40">
        <v>1</v>
      </c>
      <c r="Y18" s="33"/>
      <c r="Z18" s="33"/>
      <c r="AA18" s="33"/>
      <c r="AB18" s="33"/>
    </row>
    <row r="19" spans="1:28" s="34" customFormat="1" ht="24" customHeight="1">
      <c r="A19" s="33"/>
      <c r="B19" s="37">
        <f t="shared" si="11"/>
        <v>43685</v>
      </c>
      <c r="C19" s="38" t="str">
        <f t="shared" si="4"/>
        <v>木</v>
      </c>
      <c r="D19" s="39" t="str">
        <f>IF(ISERROR(VLOOKUP(B19,祝日!$A:$B,2,FALSE)),"",VLOOKUP(B19,祝日!$A:$B,2,FALSE))</f>
        <v/>
      </c>
      <c r="E19" s="40"/>
      <c r="F19" s="40"/>
      <c r="G19" s="40"/>
      <c r="H19" s="41" t="str">
        <f t="shared" si="0"/>
        <v/>
      </c>
      <c r="I19" s="39" t="str">
        <f t="shared" si="5"/>
        <v/>
      </c>
      <c r="J19" s="67" t="str">
        <f t="shared" si="1"/>
        <v/>
      </c>
      <c r="K19" s="42"/>
      <c r="L19" s="42"/>
      <c r="M19" s="43"/>
      <c r="N19" s="56"/>
      <c r="O19" s="57"/>
      <c r="P19" s="33"/>
      <c r="Q19" s="34">
        <f t="shared" si="2"/>
        <v>0</v>
      </c>
      <c r="R19" s="34">
        <f t="shared" si="3"/>
        <v>1</v>
      </c>
      <c r="S19" s="34">
        <f t="shared" si="6"/>
        <v>0</v>
      </c>
      <c r="T19" s="33">
        <f t="shared" si="7"/>
        <v>0</v>
      </c>
      <c r="U19" s="34">
        <f t="shared" si="8"/>
        <v>0</v>
      </c>
      <c r="V19" s="33">
        <f t="shared" si="9"/>
        <v>0</v>
      </c>
      <c r="W19" s="33">
        <f t="shared" si="10"/>
        <v>0</v>
      </c>
      <c r="X19" s="40">
        <v>1</v>
      </c>
      <c r="Y19" s="33"/>
      <c r="Z19" s="33"/>
      <c r="AA19" s="33"/>
      <c r="AB19" s="33"/>
    </row>
    <row r="20" spans="1:28" s="34" customFormat="1" ht="24" customHeight="1">
      <c r="A20" s="33"/>
      <c r="B20" s="37">
        <f t="shared" si="11"/>
        <v>43686</v>
      </c>
      <c r="C20" s="38" t="str">
        <f t="shared" si="4"/>
        <v>金</v>
      </c>
      <c r="D20" s="39" t="str">
        <f>IF(ISERROR(VLOOKUP(B20,祝日!$A:$B,2,FALSE)),"",VLOOKUP(B20,祝日!$A:$B,2,FALSE))</f>
        <v/>
      </c>
      <c r="E20" s="40"/>
      <c r="F20" s="40"/>
      <c r="G20" s="40"/>
      <c r="H20" s="41" t="str">
        <f t="shared" si="0"/>
        <v/>
      </c>
      <c r="I20" s="39" t="str">
        <f t="shared" si="5"/>
        <v/>
      </c>
      <c r="J20" s="67" t="str">
        <f t="shared" si="1"/>
        <v/>
      </c>
      <c r="K20" s="42"/>
      <c r="L20" s="42"/>
      <c r="M20" s="43"/>
      <c r="N20" s="56"/>
      <c r="O20" s="57"/>
      <c r="P20" s="33"/>
      <c r="Q20" s="34">
        <f t="shared" si="2"/>
        <v>0</v>
      </c>
      <c r="R20" s="34">
        <f t="shared" si="3"/>
        <v>1</v>
      </c>
      <c r="S20" s="34">
        <f t="shared" si="6"/>
        <v>0</v>
      </c>
      <c r="T20" s="33">
        <f t="shared" si="7"/>
        <v>0</v>
      </c>
      <c r="U20" s="34">
        <f t="shared" si="8"/>
        <v>0</v>
      </c>
      <c r="V20" s="33">
        <f t="shared" si="9"/>
        <v>0</v>
      </c>
      <c r="W20" s="33">
        <f t="shared" si="10"/>
        <v>0</v>
      </c>
      <c r="X20" s="40">
        <v>1</v>
      </c>
      <c r="Y20" s="33"/>
      <c r="Z20" s="33"/>
      <c r="AA20" s="33"/>
      <c r="AB20" s="33"/>
    </row>
    <row r="21" spans="1:28" s="34" customFormat="1" ht="24" customHeight="1">
      <c r="A21" s="33"/>
      <c r="B21" s="37">
        <f t="shared" si="11"/>
        <v>43687</v>
      </c>
      <c r="C21" s="38" t="str">
        <f t="shared" si="4"/>
        <v>土</v>
      </c>
      <c r="D21" s="39" t="str">
        <f>IF(ISERROR(VLOOKUP(B21,祝日!$A:$B,2,FALSE)),"",VLOOKUP(B21,祝日!$A:$B,2,FALSE))</f>
        <v/>
      </c>
      <c r="E21" s="40"/>
      <c r="F21" s="40"/>
      <c r="G21" s="40"/>
      <c r="H21" s="41" t="str">
        <f t="shared" si="0"/>
        <v/>
      </c>
      <c r="I21" s="39" t="str">
        <f t="shared" si="5"/>
        <v/>
      </c>
      <c r="J21" s="67" t="str">
        <f t="shared" si="1"/>
        <v/>
      </c>
      <c r="K21" s="42"/>
      <c r="L21" s="42"/>
      <c r="M21" s="43"/>
      <c r="N21" s="56"/>
      <c r="O21" s="57"/>
      <c r="P21" s="33"/>
      <c r="Q21" s="34">
        <f t="shared" si="2"/>
        <v>0</v>
      </c>
      <c r="R21" s="34">
        <f t="shared" si="3"/>
        <v>0</v>
      </c>
      <c r="S21" s="34">
        <f t="shared" si="6"/>
        <v>0</v>
      </c>
      <c r="T21" s="33">
        <f t="shared" si="7"/>
        <v>0</v>
      </c>
      <c r="U21" s="34">
        <f t="shared" si="8"/>
        <v>0</v>
      </c>
      <c r="V21" s="33">
        <f t="shared" si="9"/>
        <v>0</v>
      </c>
      <c r="W21" s="33">
        <f t="shared" si="10"/>
        <v>0</v>
      </c>
      <c r="X21" s="40">
        <v>1</v>
      </c>
      <c r="Y21" s="33"/>
      <c r="Z21" s="33"/>
      <c r="AA21" s="33"/>
      <c r="AB21" s="33"/>
    </row>
    <row r="22" spans="1:28" s="34" customFormat="1" ht="24" customHeight="1">
      <c r="A22" s="33"/>
      <c r="B22" s="37">
        <f t="shared" si="11"/>
        <v>43688</v>
      </c>
      <c r="C22" s="38" t="str">
        <f t="shared" si="4"/>
        <v>日</v>
      </c>
      <c r="D22" s="39" t="str">
        <f>IF(ISERROR(VLOOKUP(B22,祝日!$A:$B,2,FALSE)),"",VLOOKUP(B22,祝日!$A:$B,2,FALSE))</f>
        <v>祝日</v>
      </c>
      <c r="E22" s="40"/>
      <c r="F22" s="40"/>
      <c r="G22" s="40"/>
      <c r="H22" s="41" t="str">
        <f t="shared" si="0"/>
        <v/>
      </c>
      <c r="I22" s="39" t="str">
        <f t="shared" si="5"/>
        <v/>
      </c>
      <c r="J22" s="67" t="str">
        <f t="shared" si="1"/>
        <v/>
      </c>
      <c r="K22" s="42"/>
      <c r="L22" s="42"/>
      <c r="M22" s="43"/>
      <c r="N22" s="56"/>
      <c r="O22" s="57"/>
      <c r="P22" s="33"/>
      <c r="Q22" s="34">
        <f t="shared" si="2"/>
        <v>0</v>
      </c>
      <c r="R22" s="34">
        <f t="shared" si="3"/>
        <v>0</v>
      </c>
      <c r="S22" s="34">
        <f t="shared" si="6"/>
        <v>0</v>
      </c>
      <c r="T22" s="33">
        <f t="shared" si="7"/>
        <v>0</v>
      </c>
      <c r="U22" s="34">
        <f t="shared" si="8"/>
        <v>0</v>
      </c>
      <c r="V22" s="33">
        <f t="shared" si="9"/>
        <v>0</v>
      </c>
      <c r="W22" s="33">
        <f t="shared" si="10"/>
        <v>0</v>
      </c>
      <c r="X22" s="40">
        <v>1</v>
      </c>
      <c r="Y22" s="33"/>
      <c r="Z22" s="33"/>
      <c r="AA22" s="33"/>
      <c r="AB22" s="33"/>
    </row>
    <row r="23" spans="1:28" s="34" customFormat="1" ht="24" customHeight="1">
      <c r="A23" s="33"/>
      <c r="B23" s="37">
        <f t="shared" si="11"/>
        <v>43689</v>
      </c>
      <c r="C23" s="38" t="str">
        <f t="shared" si="4"/>
        <v>月</v>
      </c>
      <c r="D23" s="39" t="str">
        <f>IF(ISERROR(VLOOKUP(B23,祝日!$A:$B,2,FALSE)),"",VLOOKUP(B23,祝日!$A:$B,2,FALSE))</f>
        <v>祝日</v>
      </c>
      <c r="E23" s="40"/>
      <c r="F23" s="40"/>
      <c r="G23" s="40"/>
      <c r="H23" s="41" t="str">
        <f t="shared" si="0"/>
        <v/>
      </c>
      <c r="I23" s="39" t="str">
        <f t="shared" si="5"/>
        <v/>
      </c>
      <c r="J23" s="67" t="str">
        <f t="shared" si="1"/>
        <v/>
      </c>
      <c r="K23" s="42"/>
      <c r="L23" s="42"/>
      <c r="M23" s="43"/>
      <c r="N23" s="56"/>
      <c r="O23" s="57"/>
      <c r="P23" s="33"/>
      <c r="Q23" s="34">
        <f t="shared" si="2"/>
        <v>0</v>
      </c>
      <c r="R23" s="34">
        <f t="shared" si="3"/>
        <v>0</v>
      </c>
      <c r="S23" s="34">
        <f t="shared" si="6"/>
        <v>0</v>
      </c>
      <c r="T23" s="33">
        <f t="shared" si="7"/>
        <v>0</v>
      </c>
      <c r="U23" s="34">
        <f t="shared" si="8"/>
        <v>0</v>
      </c>
      <c r="V23" s="33">
        <f t="shared" si="9"/>
        <v>0</v>
      </c>
      <c r="W23" s="33">
        <f t="shared" si="10"/>
        <v>0</v>
      </c>
      <c r="X23" s="40">
        <v>1</v>
      </c>
      <c r="Y23" s="33"/>
      <c r="Z23" s="33"/>
      <c r="AA23" s="33"/>
      <c r="AB23" s="33"/>
    </row>
    <row r="24" spans="1:28" s="34" customFormat="1" ht="24" customHeight="1">
      <c r="A24" s="33"/>
      <c r="B24" s="37">
        <f t="shared" si="11"/>
        <v>43690</v>
      </c>
      <c r="C24" s="38" t="str">
        <f t="shared" si="4"/>
        <v>火</v>
      </c>
      <c r="D24" s="39" t="str">
        <f>IF(ISERROR(VLOOKUP(B24,祝日!$A:$B,2,FALSE)),"",VLOOKUP(B24,祝日!$A:$B,2,FALSE))</f>
        <v/>
      </c>
      <c r="E24" s="40"/>
      <c r="F24" s="40"/>
      <c r="G24" s="40"/>
      <c r="H24" s="41" t="str">
        <f t="shared" si="0"/>
        <v/>
      </c>
      <c r="I24" s="39" t="str">
        <f t="shared" si="5"/>
        <v/>
      </c>
      <c r="J24" s="67" t="str">
        <f t="shared" si="1"/>
        <v/>
      </c>
      <c r="K24" s="42"/>
      <c r="L24" s="42"/>
      <c r="M24" s="43"/>
      <c r="N24" s="56"/>
      <c r="O24" s="57"/>
      <c r="P24" s="33"/>
      <c r="Q24" s="34">
        <f t="shared" si="2"/>
        <v>0</v>
      </c>
      <c r="R24" s="34">
        <f t="shared" si="3"/>
        <v>1</v>
      </c>
      <c r="S24" s="34">
        <f t="shared" si="6"/>
        <v>0</v>
      </c>
      <c r="T24" s="33">
        <f t="shared" si="7"/>
        <v>0</v>
      </c>
      <c r="U24" s="34">
        <f t="shared" si="8"/>
        <v>0</v>
      </c>
      <c r="V24" s="33">
        <f t="shared" si="9"/>
        <v>0</v>
      </c>
      <c r="W24" s="33">
        <f t="shared" si="10"/>
        <v>0</v>
      </c>
      <c r="X24" s="40">
        <v>1</v>
      </c>
      <c r="Y24" s="33"/>
      <c r="Z24" s="33"/>
      <c r="AA24" s="33"/>
      <c r="AB24" s="33"/>
    </row>
    <row r="25" spans="1:28" s="34" customFormat="1" ht="24" customHeight="1">
      <c r="A25" s="33"/>
      <c r="B25" s="37">
        <f t="shared" si="11"/>
        <v>43691</v>
      </c>
      <c r="C25" s="38" t="str">
        <f t="shared" si="4"/>
        <v>水</v>
      </c>
      <c r="D25" s="39" t="str">
        <f>IF(ISERROR(VLOOKUP(B25,祝日!$A:$B,2,FALSE)),"",VLOOKUP(B25,祝日!$A:$B,2,FALSE))</f>
        <v/>
      </c>
      <c r="E25" s="40"/>
      <c r="F25" s="40"/>
      <c r="G25" s="40"/>
      <c r="H25" s="41" t="str">
        <f t="shared" si="0"/>
        <v/>
      </c>
      <c r="I25" s="39" t="str">
        <f t="shared" si="5"/>
        <v/>
      </c>
      <c r="J25" s="67" t="str">
        <f t="shared" si="1"/>
        <v/>
      </c>
      <c r="K25" s="42"/>
      <c r="L25" s="42"/>
      <c r="M25" s="43"/>
      <c r="N25" s="56"/>
      <c r="O25" s="57"/>
      <c r="P25" s="33"/>
      <c r="Q25" s="34">
        <f t="shared" si="2"/>
        <v>0</v>
      </c>
      <c r="R25" s="34">
        <f t="shared" si="3"/>
        <v>1</v>
      </c>
      <c r="S25" s="34">
        <f t="shared" si="6"/>
        <v>0</v>
      </c>
      <c r="T25" s="33">
        <f t="shared" si="7"/>
        <v>0</v>
      </c>
      <c r="U25" s="34">
        <f t="shared" si="8"/>
        <v>0</v>
      </c>
      <c r="V25" s="33">
        <f t="shared" si="9"/>
        <v>0</v>
      </c>
      <c r="W25" s="33">
        <f t="shared" si="10"/>
        <v>0</v>
      </c>
      <c r="X25" s="40">
        <v>1</v>
      </c>
      <c r="Y25" s="33"/>
      <c r="Z25" s="33"/>
      <c r="AA25" s="33"/>
      <c r="AB25" s="33"/>
    </row>
    <row r="26" spans="1:28" s="34" customFormat="1" ht="24" customHeight="1">
      <c r="A26" s="33"/>
      <c r="B26" s="37">
        <f t="shared" si="11"/>
        <v>43692</v>
      </c>
      <c r="C26" s="38" t="str">
        <f t="shared" si="4"/>
        <v>木</v>
      </c>
      <c r="D26" s="39" t="str">
        <f>IF(ISERROR(VLOOKUP(B26,祝日!$A:$B,2,FALSE)),"",VLOOKUP(B26,祝日!$A:$B,2,FALSE))</f>
        <v/>
      </c>
      <c r="E26" s="40"/>
      <c r="F26" s="40"/>
      <c r="G26" s="40"/>
      <c r="H26" s="41" t="str">
        <f t="shared" si="0"/>
        <v/>
      </c>
      <c r="I26" s="39" t="str">
        <f t="shared" si="5"/>
        <v/>
      </c>
      <c r="J26" s="67" t="str">
        <f t="shared" si="1"/>
        <v/>
      </c>
      <c r="K26" s="42"/>
      <c r="L26" s="42"/>
      <c r="M26" s="43"/>
      <c r="N26" s="56"/>
      <c r="O26" s="57"/>
      <c r="P26" s="33"/>
      <c r="Q26" s="34">
        <f t="shared" si="2"/>
        <v>0</v>
      </c>
      <c r="R26" s="34">
        <f t="shared" si="3"/>
        <v>1</v>
      </c>
      <c r="S26" s="34">
        <f t="shared" si="6"/>
        <v>0</v>
      </c>
      <c r="T26" s="33">
        <f t="shared" si="7"/>
        <v>0</v>
      </c>
      <c r="U26" s="34">
        <f t="shared" si="8"/>
        <v>0</v>
      </c>
      <c r="V26" s="33">
        <f t="shared" si="9"/>
        <v>0</v>
      </c>
      <c r="W26" s="33">
        <f t="shared" si="10"/>
        <v>0</v>
      </c>
      <c r="X26" s="40">
        <v>1</v>
      </c>
      <c r="Y26" s="33"/>
      <c r="Z26" s="33"/>
      <c r="AA26" s="33"/>
      <c r="AB26" s="33"/>
    </row>
    <row r="27" spans="1:28" s="34" customFormat="1" ht="24" customHeight="1">
      <c r="A27" s="33"/>
      <c r="B27" s="37">
        <f t="shared" si="11"/>
        <v>43693</v>
      </c>
      <c r="C27" s="38" t="str">
        <f t="shared" si="4"/>
        <v>金</v>
      </c>
      <c r="D27" s="39" t="str">
        <f>IF(ISERROR(VLOOKUP(B27,祝日!$A:$B,2,FALSE)),"",VLOOKUP(B27,祝日!$A:$B,2,FALSE))</f>
        <v/>
      </c>
      <c r="E27" s="40"/>
      <c r="F27" s="40"/>
      <c r="G27" s="40"/>
      <c r="H27" s="41" t="str">
        <f t="shared" si="0"/>
        <v/>
      </c>
      <c r="I27" s="39" t="str">
        <f t="shared" si="5"/>
        <v/>
      </c>
      <c r="J27" s="67" t="str">
        <f t="shared" si="1"/>
        <v/>
      </c>
      <c r="K27" s="42"/>
      <c r="L27" s="42"/>
      <c r="M27" s="43"/>
      <c r="N27" s="56"/>
      <c r="O27" s="57"/>
      <c r="P27" s="33"/>
      <c r="Q27" s="34">
        <f t="shared" si="2"/>
        <v>0</v>
      </c>
      <c r="R27" s="34">
        <f t="shared" si="3"/>
        <v>1</v>
      </c>
      <c r="S27" s="34">
        <f t="shared" si="6"/>
        <v>0</v>
      </c>
      <c r="T27" s="33">
        <f t="shared" si="7"/>
        <v>0</v>
      </c>
      <c r="U27" s="34">
        <f t="shared" si="8"/>
        <v>0</v>
      </c>
      <c r="V27" s="33">
        <f t="shared" si="9"/>
        <v>0</v>
      </c>
      <c r="W27" s="33">
        <f t="shared" si="10"/>
        <v>0</v>
      </c>
      <c r="X27" s="40">
        <v>1</v>
      </c>
      <c r="Y27" s="33"/>
      <c r="Z27" s="33"/>
      <c r="AA27" s="33"/>
      <c r="AB27" s="33"/>
    </row>
    <row r="28" spans="1:28" s="34" customFormat="1" ht="24" customHeight="1">
      <c r="A28" s="33"/>
      <c r="B28" s="37">
        <f t="shared" si="11"/>
        <v>43694</v>
      </c>
      <c r="C28" s="38" t="str">
        <f t="shared" si="4"/>
        <v>土</v>
      </c>
      <c r="D28" s="39" t="str">
        <f>IF(ISERROR(VLOOKUP(B28,祝日!$A:$B,2,FALSE)),"",VLOOKUP(B28,祝日!$A:$B,2,FALSE))</f>
        <v/>
      </c>
      <c r="E28" s="40"/>
      <c r="F28" s="40"/>
      <c r="G28" s="40"/>
      <c r="H28" s="41" t="str">
        <f t="shared" si="0"/>
        <v/>
      </c>
      <c r="I28" s="39" t="str">
        <f t="shared" si="5"/>
        <v/>
      </c>
      <c r="J28" s="67" t="str">
        <f t="shared" si="1"/>
        <v/>
      </c>
      <c r="K28" s="42"/>
      <c r="L28" s="42"/>
      <c r="M28" s="43"/>
      <c r="N28" s="56"/>
      <c r="O28" s="57"/>
      <c r="P28" s="33"/>
      <c r="Q28" s="34">
        <f t="shared" si="2"/>
        <v>0</v>
      </c>
      <c r="R28" s="34">
        <f t="shared" si="3"/>
        <v>0</v>
      </c>
      <c r="S28" s="34">
        <f t="shared" si="6"/>
        <v>0</v>
      </c>
      <c r="T28" s="33">
        <f t="shared" si="7"/>
        <v>0</v>
      </c>
      <c r="U28" s="34">
        <f t="shared" si="8"/>
        <v>0</v>
      </c>
      <c r="V28" s="33">
        <f t="shared" si="9"/>
        <v>0</v>
      </c>
      <c r="W28" s="33">
        <f t="shared" si="10"/>
        <v>0</v>
      </c>
      <c r="X28" s="40">
        <v>1</v>
      </c>
      <c r="Y28" s="33"/>
      <c r="Z28" s="33"/>
      <c r="AA28" s="33"/>
      <c r="AB28" s="33"/>
    </row>
    <row r="29" spans="1:28" s="34" customFormat="1" ht="24" customHeight="1">
      <c r="A29" s="33"/>
      <c r="B29" s="37">
        <f t="shared" si="11"/>
        <v>43695</v>
      </c>
      <c r="C29" s="38" t="str">
        <f t="shared" si="4"/>
        <v>日</v>
      </c>
      <c r="D29" s="39" t="str">
        <f>IF(ISERROR(VLOOKUP(B29,祝日!$A:$B,2,FALSE)),"",VLOOKUP(B29,祝日!$A:$B,2,FALSE))</f>
        <v/>
      </c>
      <c r="E29" s="40"/>
      <c r="F29" s="40"/>
      <c r="G29" s="40"/>
      <c r="H29" s="41" t="str">
        <f t="shared" si="0"/>
        <v/>
      </c>
      <c r="I29" s="39" t="str">
        <f t="shared" si="5"/>
        <v/>
      </c>
      <c r="J29" s="67" t="str">
        <f t="shared" si="1"/>
        <v/>
      </c>
      <c r="K29" s="42"/>
      <c r="L29" s="42"/>
      <c r="M29" s="43"/>
      <c r="N29" s="56"/>
      <c r="O29" s="57"/>
      <c r="P29" s="33"/>
      <c r="Q29" s="34">
        <f t="shared" si="2"/>
        <v>0</v>
      </c>
      <c r="R29" s="34">
        <f t="shared" si="3"/>
        <v>0</v>
      </c>
      <c r="S29" s="34">
        <f t="shared" si="6"/>
        <v>0</v>
      </c>
      <c r="T29" s="33">
        <f t="shared" si="7"/>
        <v>0</v>
      </c>
      <c r="U29" s="34">
        <f t="shared" si="8"/>
        <v>0</v>
      </c>
      <c r="V29" s="33">
        <f t="shared" si="9"/>
        <v>0</v>
      </c>
      <c r="W29" s="33">
        <f t="shared" si="10"/>
        <v>0</v>
      </c>
      <c r="X29" s="40">
        <v>1</v>
      </c>
      <c r="Y29" s="33"/>
      <c r="Z29" s="33"/>
      <c r="AA29" s="33"/>
      <c r="AB29" s="33"/>
    </row>
    <row r="30" spans="1:28" s="34" customFormat="1" ht="24" customHeight="1">
      <c r="A30" s="33"/>
      <c r="B30" s="37">
        <f t="shared" si="11"/>
        <v>43696</v>
      </c>
      <c r="C30" s="38" t="str">
        <f t="shared" si="4"/>
        <v>月</v>
      </c>
      <c r="D30" s="39" t="str">
        <f>IF(ISERROR(VLOOKUP(B30,祝日!$A:$B,2,FALSE)),"",VLOOKUP(B30,祝日!$A:$B,2,FALSE))</f>
        <v/>
      </c>
      <c r="E30" s="40"/>
      <c r="F30" s="40"/>
      <c r="G30" s="40"/>
      <c r="H30" s="41" t="str">
        <f t="shared" si="0"/>
        <v/>
      </c>
      <c r="I30" s="39" t="str">
        <f t="shared" si="5"/>
        <v/>
      </c>
      <c r="J30" s="67" t="str">
        <f t="shared" si="1"/>
        <v/>
      </c>
      <c r="K30" s="42"/>
      <c r="L30" s="42"/>
      <c r="M30" s="43"/>
      <c r="N30" s="56"/>
      <c r="O30" s="57"/>
      <c r="P30" s="33"/>
      <c r="Q30" s="34">
        <f t="shared" si="2"/>
        <v>0</v>
      </c>
      <c r="R30" s="34">
        <f t="shared" si="3"/>
        <v>1</v>
      </c>
      <c r="S30" s="34">
        <f t="shared" si="6"/>
        <v>0</v>
      </c>
      <c r="T30" s="33">
        <f t="shared" si="7"/>
        <v>0</v>
      </c>
      <c r="U30" s="34">
        <f t="shared" si="8"/>
        <v>0</v>
      </c>
      <c r="V30" s="33">
        <f t="shared" si="9"/>
        <v>0</v>
      </c>
      <c r="W30" s="33">
        <f t="shared" si="10"/>
        <v>0</v>
      </c>
      <c r="X30" s="40">
        <v>1</v>
      </c>
      <c r="Y30" s="33"/>
      <c r="Z30" s="33"/>
      <c r="AA30" s="33"/>
      <c r="AB30" s="33"/>
    </row>
    <row r="31" spans="1:28" s="34" customFormat="1" ht="24" customHeight="1">
      <c r="A31" s="33"/>
      <c r="B31" s="37">
        <f t="shared" si="11"/>
        <v>43697</v>
      </c>
      <c r="C31" s="38" t="str">
        <f t="shared" si="4"/>
        <v>火</v>
      </c>
      <c r="D31" s="39" t="str">
        <f>IF(ISERROR(VLOOKUP(B31,祝日!$A:$B,2,FALSE)),"",VLOOKUP(B31,祝日!$A:$B,2,FALSE))</f>
        <v/>
      </c>
      <c r="E31" s="40"/>
      <c r="F31" s="40"/>
      <c r="G31" s="40"/>
      <c r="H31" s="41" t="str">
        <f t="shared" si="0"/>
        <v/>
      </c>
      <c r="I31" s="39" t="str">
        <f t="shared" si="5"/>
        <v/>
      </c>
      <c r="J31" s="67" t="str">
        <f t="shared" si="1"/>
        <v/>
      </c>
      <c r="K31" s="42"/>
      <c r="L31" s="42"/>
      <c r="M31" s="43"/>
      <c r="N31" s="56"/>
      <c r="O31" s="57"/>
      <c r="P31" s="33"/>
      <c r="Q31" s="34">
        <f t="shared" si="2"/>
        <v>0</v>
      </c>
      <c r="R31" s="34">
        <f t="shared" si="3"/>
        <v>1</v>
      </c>
      <c r="S31" s="34">
        <f t="shared" si="6"/>
        <v>0</v>
      </c>
      <c r="T31" s="33">
        <f t="shared" si="7"/>
        <v>0</v>
      </c>
      <c r="U31" s="34">
        <f t="shared" si="8"/>
        <v>0</v>
      </c>
      <c r="V31" s="33">
        <f t="shared" si="9"/>
        <v>0</v>
      </c>
      <c r="W31" s="33">
        <f t="shared" si="10"/>
        <v>0</v>
      </c>
      <c r="X31" s="40">
        <v>1</v>
      </c>
      <c r="Y31" s="33"/>
      <c r="Z31" s="33"/>
      <c r="AA31" s="33"/>
      <c r="AB31" s="33"/>
    </row>
    <row r="32" spans="1:28" s="34" customFormat="1" ht="24" customHeight="1">
      <c r="A32" s="33"/>
      <c r="B32" s="37">
        <f t="shared" si="11"/>
        <v>43698</v>
      </c>
      <c r="C32" s="38" t="str">
        <f t="shared" si="4"/>
        <v>水</v>
      </c>
      <c r="D32" s="39" t="str">
        <f>IF(ISERROR(VLOOKUP(B32,祝日!$A:$B,2,FALSE)),"",VLOOKUP(B32,祝日!$A:$B,2,FALSE))</f>
        <v/>
      </c>
      <c r="E32" s="40"/>
      <c r="F32" s="40"/>
      <c r="G32" s="40"/>
      <c r="H32" s="41" t="str">
        <f t="shared" si="0"/>
        <v/>
      </c>
      <c r="I32" s="39" t="str">
        <f t="shared" si="5"/>
        <v/>
      </c>
      <c r="J32" s="67" t="str">
        <f t="shared" si="1"/>
        <v/>
      </c>
      <c r="K32" s="42"/>
      <c r="L32" s="42"/>
      <c r="M32" s="43"/>
      <c r="N32" s="56"/>
      <c r="O32" s="57"/>
      <c r="P32" s="33"/>
      <c r="Q32" s="34">
        <f t="shared" si="2"/>
        <v>0</v>
      </c>
      <c r="R32" s="34">
        <f t="shared" si="3"/>
        <v>1</v>
      </c>
      <c r="S32" s="34">
        <f t="shared" si="6"/>
        <v>0</v>
      </c>
      <c r="T32" s="33">
        <f t="shared" si="7"/>
        <v>0</v>
      </c>
      <c r="U32" s="34">
        <f t="shared" si="8"/>
        <v>0</v>
      </c>
      <c r="V32" s="33">
        <f t="shared" si="9"/>
        <v>0</v>
      </c>
      <c r="W32" s="33">
        <f t="shared" si="10"/>
        <v>0</v>
      </c>
      <c r="X32" s="40">
        <v>1</v>
      </c>
      <c r="Y32" s="33"/>
      <c r="Z32" s="33"/>
      <c r="AA32" s="33"/>
      <c r="AB32" s="33"/>
    </row>
    <row r="33" spans="1:28" s="34" customFormat="1" ht="24" customHeight="1">
      <c r="A33" s="33"/>
      <c r="B33" s="37">
        <f t="shared" si="11"/>
        <v>43699</v>
      </c>
      <c r="C33" s="38" t="str">
        <f t="shared" si="4"/>
        <v>木</v>
      </c>
      <c r="D33" s="39" t="str">
        <f>IF(ISERROR(VLOOKUP(B33,祝日!$A:$B,2,FALSE)),"",VLOOKUP(B33,祝日!$A:$B,2,FALSE))</f>
        <v/>
      </c>
      <c r="E33" s="40"/>
      <c r="F33" s="40"/>
      <c r="G33" s="40"/>
      <c r="H33" s="41" t="str">
        <f t="shared" si="0"/>
        <v/>
      </c>
      <c r="I33" s="39" t="str">
        <f t="shared" si="5"/>
        <v/>
      </c>
      <c r="J33" s="67" t="str">
        <f t="shared" si="1"/>
        <v/>
      </c>
      <c r="K33" s="42"/>
      <c r="L33" s="42"/>
      <c r="M33" s="43"/>
      <c r="N33" s="56"/>
      <c r="O33" s="57"/>
      <c r="P33" s="33"/>
      <c r="Q33" s="34">
        <f t="shared" si="2"/>
        <v>0</v>
      </c>
      <c r="R33" s="34">
        <f t="shared" si="3"/>
        <v>1</v>
      </c>
      <c r="S33" s="34">
        <f t="shared" si="6"/>
        <v>0</v>
      </c>
      <c r="T33" s="33">
        <f t="shared" si="7"/>
        <v>0</v>
      </c>
      <c r="U33" s="34">
        <f t="shared" si="8"/>
        <v>0</v>
      </c>
      <c r="V33" s="33">
        <f t="shared" si="9"/>
        <v>0</v>
      </c>
      <c r="W33" s="33">
        <f t="shared" si="10"/>
        <v>0</v>
      </c>
      <c r="X33" s="40">
        <v>1</v>
      </c>
      <c r="Y33" s="33"/>
      <c r="Z33" s="33"/>
      <c r="AA33" s="33"/>
      <c r="AB33" s="33"/>
    </row>
    <row r="34" spans="1:28" s="34" customFormat="1" ht="24" customHeight="1">
      <c r="A34" s="33"/>
      <c r="B34" s="37">
        <f t="shared" si="11"/>
        <v>43700</v>
      </c>
      <c r="C34" s="38" t="str">
        <f t="shared" si="4"/>
        <v>金</v>
      </c>
      <c r="D34" s="39" t="str">
        <f>IF(ISERROR(VLOOKUP(B34,祝日!$A:$B,2,FALSE)),"",VLOOKUP(B34,祝日!$A:$B,2,FALSE))</f>
        <v/>
      </c>
      <c r="E34" s="40"/>
      <c r="F34" s="40"/>
      <c r="G34" s="40"/>
      <c r="H34" s="41" t="str">
        <f t="shared" si="0"/>
        <v/>
      </c>
      <c r="I34" s="39" t="str">
        <f t="shared" si="5"/>
        <v/>
      </c>
      <c r="J34" s="67" t="str">
        <f t="shared" si="1"/>
        <v/>
      </c>
      <c r="K34" s="42"/>
      <c r="L34" s="42"/>
      <c r="M34" s="43"/>
      <c r="N34" s="56"/>
      <c r="O34" s="57"/>
      <c r="P34" s="33"/>
      <c r="Q34" s="34">
        <f t="shared" si="2"/>
        <v>0</v>
      </c>
      <c r="R34" s="34">
        <f t="shared" si="3"/>
        <v>1</v>
      </c>
      <c r="S34" s="34">
        <f t="shared" si="6"/>
        <v>0</v>
      </c>
      <c r="T34" s="33">
        <f t="shared" si="7"/>
        <v>0</v>
      </c>
      <c r="U34" s="34">
        <f t="shared" si="8"/>
        <v>0</v>
      </c>
      <c r="V34" s="33">
        <f t="shared" si="9"/>
        <v>0</v>
      </c>
      <c r="W34" s="33">
        <f t="shared" si="10"/>
        <v>0</v>
      </c>
      <c r="X34" s="40">
        <v>1</v>
      </c>
      <c r="Y34" s="33"/>
      <c r="Z34" s="33"/>
      <c r="AA34" s="33"/>
      <c r="AB34" s="33"/>
    </row>
    <row r="35" spans="1:28" s="34" customFormat="1" ht="24" customHeight="1">
      <c r="A35" s="33"/>
      <c r="B35" s="37">
        <f t="shared" si="11"/>
        <v>43701</v>
      </c>
      <c r="C35" s="38" t="str">
        <f t="shared" si="4"/>
        <v>土</v>
      </c>
      <c r="D35" s="39" t="str">
        <f>IF(ISERROR(VLOOKUP(B35,祝日!$A:$B,2,FALSE)),"",VLOOKUP(B35,祝日!$A:$B,2,FALSE))</f>
        <v/>
      </c>
      <c r="E35" s="40"/>
      <c r="F35" s="40"/>
      <c r="G35" s="40"/>
      <c r="H35" s="41" t="str">
        <f t="shared" si="0"/>
        <v/>
      </c>
      <c r="I35" s="39" t="str">
        <f t="shared" si="5"/>
        <v/>
      </c>
      <c r="J35" s="67" t="str">
        <f t="shared" si="1"/>
        <v/>
      </c>
      <c r="K35" s="42"/>
      <c r="L35" s="42"/>
      <c r="M35" s="43"/>
      <c r="N35" s="56"/>
      <c r="O35" s="57"/>
      <c r="P35" s="33"/>
      <c r="Q35" s="34">
        <f t="shared" si="2"/>
        <v>0</v>
      </c>
      <c r="R35" s="34">
        <f t="shared" si="3"/>
        <v>0</v>
      </c>
      <c r="S35" s="34">
        <f t="shared" si="6"/>
        <v>0</v>
      </c>
      <c r="T35" s="33">
        <f t="shared" si="7"/>
        <v>0</v>
      </c>
      <c r="U35" s="34">
        <f t="shared" si="8"/>
        <v>0</v>
      </c>
      <c r="V35" s="33">
        <f t="shared" si="9"/>
        <v>0</v>
      </c>
      <c r="W35" s="33">
        <f t="shared" si="10"/>
        <v>0</v>
      </c>
      <c r="X35" s="40">
        <v>1</v>
      </c>
      <c r="Y35" s="33"/>
      <c r="Z35" s="33"/>
      <c r="AA35" s="33"/>
      <c r="AB35" s="33"/>
    </row>
    <row r="36" spans="1:28" s="34" customFormat="1" ht="24" customHeight="1">
      <c r="A36" s="33"/>
      <c r="B36" s="37">
        <f t="shared" si="11"/>
        <v>43702</v>
      </c>
      <c r="C36" s="38" t="str">
        <f t="shared" si="4"/>
        <v>日</v>
      </c>
      <c r="D36" s="39" t="str">
        <f>IF(ISERROR(VLOOKUP(B36,祝日!$A:$B,2,FALSE)),"",VLOOKUP(B36,祝日!$A:$B,2,FALSE))</f>
        <v/>
      </c>
      <c r="E36" s="40"/>
      <c r="F36" s="40"/>
      <c r="G36" s="40"/>
      <c r="H36" s="41" t="str">
        <f t="shared" si="0"/>
        <v/>
      </c>
      <c r="I36" s="39" t="str">
        <f t="shared" si="5"/>
        <v/>
      </c>
      <c r="J36" s="67" t="str">
        <f t="shared" si="1"/>
        <v/>
      </c>
      <c r="K36" s="42"/>
      <c r="L36" s="42"/>
      <c r="M36" s="43"/>
      <c r="N36" s="56"/>
      <c r="O36" s="57"/>
      <c r="P36" s="33"/>
      <c r="Q36" s="34">
        <f t="shared" si="2"/>
        <v>0</v>
      </c>
      <c r="R36" s="34">
        <f t="shared" si="3"/>
        <v>0</v>
      </c>
      <c r="S36" s="34">
        <f t="shared" si="6"/>
        <v>0</v>
      </c>
      <c r="T36" s="33">
        <f t="shared" si="7"/>
        <v>0</v>
      </c>
      <c r="U36" s="34">
        <f t="shared" si="8"/>
        <v>0</v>
      </c>
      <c r="V36" s="33">
        <f t="shared" si="9"/>
        <v>0</v>
      </c>
      <c r="W36" s="33">
        <f t="shared" si="10"/>
        <v>0</v>
      </c>
      <c r="X36" s="40">
        <v>1</v>
      </c>
      <c r="Y36" s="33"/>
      <c r="Z36" s="33"/>
      <c r="AA36" s="33"/>
      <c r="AB36" s="33"/>
    </row>
    <row r="37" spans="1:28" s="34" customFormat="1" ht="24" customHeight="1">
      <c r="A37" s="33"/>
      <c r="B37" s="37">
        <f t="shared" si="11"/>
        <v>43703</v>
      </c>
      <c r="C37" s="38" t="str">
        <f t="shared" si="4"/>
        <v>月</v>
      </c>
      <c r="D37" s="39" t="str">
        <f>IF(ISERROR(VLOOKUP(B37,祝日!$A:$B,2,FALSE)),"",VLOOKUP(B37,祝日!$A:$B,2,FALSE))</f>
        <v/>
      </c>
      <c r="E37" s="40"/>
      <c r="F37" s="40"/>
      <c r="G37" s="40"/>
      <c r="H37" s="41" t="str">
        <f t="shared" si="0"/>
        <v/>
      </c>
      <c r="I37" s="39" t="str">
        <f t="shared" si="5"/>
        <v/>
      </c>
      <c r="J37" s="67" t="str">
        <f t="shared" si="1"/>
        <v/>
      </c>
      <c r="K37" s="42"/>
      <c r="L37" s="42"/>
      <c r="M37" s="55"/>
      <c r="N37" s="56"/>
      <c r="O37" s="57"/>
      <c r="P37" s="33"/>
      <c r="Q37" s="34">
        <f t="shared" si="2"/>
        <v>0</v>
      </c>
      <c r="R37" s="34">
        <f t="shared" si="3"/>
        <v>1</v>
      </c>
      <c r="S37" s="34">
        <f t="shared" si="6"/>
        <v>0</v>
      </c>
      <c r="T37" s="33">
        <f t="shared" si="7"/>
        <v>0</v>
      </c>
      <c r="U37" s="34">
        <f t="shared" si="8"/>
        <v>0</v>
      </c>
      <c r="V37" s="33">
        <f t="shared" si="9"/>
        <v>0</v>
      </c>
      <c r="W37" s="33">
        <f t="shared" si="10"/>
        <v>0</v>
      </c>
      <c r="X37" s="40">
        <v>1</v>
      </c>
      <c r="Y37" s="33"/>
      <c r="Z37" s="33"/>
      <c r="AA37" s="33"/>
      <c r="AB37" s="33"/>
    </row>
    <row r="38" spans="1:28" s="34" customFormat="1" ht="24" customHeight="1">
      <c r="A38" s="33"/>
      <c r="B38" s="37">
        <f t="shared" si="11"/>
        <v>43704</v>
      </c>
      <c r="C38" s="38" t="str">
        <f t="shared" si="4"/>
        <v>火</v>
      </c>
      <c r="D38" s="39" t="str">
        <f>IF(ISERROR(VLOOKUP(B38,祝日!$A:$B,2,FALSE)),"",VLOOKUP(B38,祝日!$A:$B,2,FALSE))</f>
        <v/>
      </c>
      <c r="E38" s="40"/>
      <c r="F38" s="40"/>
      <c r="G38" s="40"/>
      <c r="H38" s="41" t="str">
        <f t="shared" si="0"/>
        <v/>
      </c>
      <c r="I38" s="39" t="str">
        <f t="shared" si="5"/>
        <v/>
      </c>
      <c r="J38" s="67" t="str">
        <f t="shared" si="1"/>
        <v/>
      </c>
      <c r="K38" s="42"/>
      <c r="L38" s="42"/>
      <c r="M38" s="43"/>
      <c r="N38" s="56"/>
      <c r="O38" s="57"/>
      <c r="P38" s="33"/>
      <c r="Q38" s="34">
        <f t="shared" si="2"/>
        <v>0</v>
      </c>
      <c r="R38" s="34">
        <f t="shared" si="3"/>
        <v>1</v>
      </c>
      <c r="S38" s="34">
        <f t="shared" si="6"/>
        <v>0</v>
      </c>
      <c r="T38" s="33">
        <f t="shared" si="7"/>
        <v>0</v>
      </c>
      <c r="U38" s="34">
        <f t="shared" si="8"/>
        <v>0</v>
      </c>
      <c r="V38" s="33">
        <f t="shared" si="9"/>
        <v>0</v>
      </c>
      <c r="W38" s="33">
        <f t="shared" si="10"/>
        <v>0</v>
      </c>
      <c r="X38" s="40">
        <v>1</v>
      </c>
      <c r="Y38" s="33"/>
      <c r="Z38" s="33"/>
      <c r="AA38" s="33"/>
      <c r="AB38" s="33"/>
    </row>
    <row r="39" spans="1:28" s="34" customFormat="1" ht="24" customHeight="1">
      <c r="A39" s="33"/>
      <c r="B39" s="37">
        <f t="shared" si="11"/>
        <v>43705</v>
      </c>
      <c r="C39" s="38" t="str">
        <f t="shared" si="4"/>
        <v>水</v>
      </c>
      <c r="D39" s="39" t="str">
        <f>IF(ISERROR(VLOOKUP(B39,祝日!$A:$B,2,FALSE)),"",VLOOKUP(B39,祝日!$A:$B,2,FALSE))</f>
        <v/>
      </c>
      <c r="E39" s="40"/>
      <c r="F39" s="40"/>
      <c r="G39" s="40"/>
      <c r="H39" s="41" t="str">
        <f t="shared" si="0"/>
        <v/>
      </c>
      <c r="I39" s="39" t="str">
        <f t="shared" si="5"/>
        <v/>
      </c>
      <c r="J39" s="67" t="str">
        <f t="shared" si="1"/>
        <v/>
      </c>
      <c r="K39" s="42"/>
      <c r="L39" s="42"/>
      <c r="M39" s="43"/>
      <c r="N39" s="56"/>
      <c r="O39" s="57"/>
      <c r="P39" s="33"/>
      <c r="Q39" s="34">
        <f t="shared" si="2"/>
        <v>0</v>
      </c>
      <c r="R39" s="34">
        <f t="shared" si="3"/>
        <v>1</v>
      </c>
      <c r="S39" s="34">
        <f t="shared" si="6"/>
        <v>0</v>
      </c>
      <c r="T39" s="33">
        <f t="shared" si="7"/>
        <v>0</v>
      </c>
      <c r="U39" s="34">
        <f t="shared" si="8"/>
        <v>0</v>
      </c>
      <c r="V39" s="33">
        <f t="shared" si="9"/>
        <v>0</v>
      </c>
      <c r="W39" s="33">
        <f t="shared" si="10"/>
        <v>0</v>
      </c>
      <c r="X39" s="40">
        <v>1</v>
      </c>
      <c r="Y39" s="33"/>
      <c r="Z39" s="33"/>
      <c r="AA39" s="33"/>
      <c r="AB39" s="33"/>
    </row>
    <row r="40" spans="1:28" s="34" customFormat="1" ht="24" customHeight="1">
      <c r="A40" s="33"/>
      <c r="B40" s="37">
        <f t="shared" si="11"/>
        <v>43706</v>
      </c>
      <c r="C40" s="38" t="str">
        <f t="shared" si="4"/>
        <v>木</v>
      </c>
      <c r="D40" s="39" t="str">
        <f>IF(ISERROR(VLOOKUP(B40,祝日!$A:$B,2,FALSE)),"",VLOOKUP(B40,祝日!$A:$B,2,FALSE))</f>
        <v/>
      </c>
      <c r="E40" s="40"/>
      <c r="F40" s="40"/>
      <c r="G40" s="40"/>
      <c r="H40" s="41" t="str">
        <f t="shared" si="0"/>
        <v/>
      </c>
      <c r="I40" s="39" t="str">
        <f t="shared" si="5"/>
        <v/>
      </c>
      <c r="J40" s="67" t="str">
        <f t="shared" si="1"/>
        <v/>
      </c>
      <c r="K40" s="42"/>
      <c r="L40" s="42"/>
      <c r="M40" s="43"/>
      <c r="N40" s="56"/>
      <c r="O40" s="57"/>
      <c r="P40" s="33"/>
      <c r="Q40" s="34">
        <f t="shared" si="2"/>
        <v>0</v>
      </c>
      <c r="R40" s="34">
        <f t="shared" si="3"/>
        <v>1</v>
      </c>
      <c r="S40" s="34">
        <f t="shared" si="6"/>
        <v>0</v>
      </c>
      <c r="T40" s="33">
        <f t="shared" si="7"/>
        <v>0</v>
      </c>
      <c r="U40" s="34">
        <f t="shared" si="8"/>
        <v>0</v>
      </c>
      <c r="V40" s="33">
        <f t="shared" si="9"/>
        <v>0</v>
      </c>
      <c r="W40" s="33">
        <f t="shared" si="10"/>
        <v>0</v>
      </c>
      <c r="X40" s="40">
        <v>1</v>
      </c>
      <c r="Y40" s="33"/>
      <c r="Z40" s="33"/>
      <c r="AA40" s="33"/>
      <c r="AB40" s="33"/>
    </row>
    <row r="41" spans="1:28" s="34" customFormat="1" ht="24" customHeight="1">
      <c r="A41" s="33"/>
      <c r="B41" s="37">
        <f t="shared" si="11"/>
        <v>43707</v>
      </c>
      <c r="C41" s="38" t="str">
        <f t="shared" si="4"/>
        <v>金</v>
      </c>
      <c r="D41" s="39" t="str">
        <f>IF(ISERROR(VLOOKUP(B41,祝日!$A:$B,2,FALSE)),"",VLOOKUP(B41,祝日!$A:$B,2,FALSE))</f>
        <v/>
      </c>
      <c r="E41" s="40"/>
      <c r="F41" s="40"/>
      <c r="G41" s="40"/>
      <c r="H41" s="41" t="str">
        <f t="shared" si="0"/>
        <v/>
      </c>
      <c r="I41" s="39" t="str">
        <f t="shared" si="5"/>
        <v/>
      </c>
      <c r="J41" s="67" t="str">
        <f t="shared" si="1"/>
        <v/>
      </c>
      <c r="K41" s="42"/>
      <c r="L41" s="42"/>
      <c r="M41" s="43"/>
      <c r="N41" s="56"/>
      <c r="O41" s="57"/>
      <c r="P41" s="33"/>
      <c r="Q41" s="34">
        <f t="shared" si="2"/>
        <v>0</v>
      </c>
      <c r="R41" s="34">
        <f t="shared" si="3"/>
        <v>1</v>
      </c>
      <c r="S41" s="34">
        <f t="shared" si="6"/>
        <v>0</v>
      </c>
      <c r="T41" s="33">
        <f t="shared" si="7"/>
        <v>0</v>
      </c>
      <c r="U41" s="34">
        <f t="shared" si="8"/>
        <v>0</v>
      </c>
      <c r="V41" s="33">
        <f t="shared" si="9"/>
        <v>0</v>
      </c>
      <c r="W41" s="33">
        <f t="shared" si="10"/>
        <v>0</v>
      </c>
      <c r="X41" s="40">
        <v>1</v>
      </c>
      <c r="Y41" s="33"/>
      <c r="Z41" s="33"/>
      <c r="AA41" s="33"/>
      <c r="AB41" s="33"/>
    </row>
    <row r="42" spans="1:28" s="34" customFormat="1" ht="24" customHeight="1">
      <c r="A42" s="33"/>
      <c r="B42" s="37">
        <f t="shared" si="11"/>
        <v>43708</v>
      </c>
      <c r="C42" s="38" t="str">
        <f t="shared" si="4"/>
        <v>土</v>
      </c>
      <c r="D42" s="39" t="str">
        <f>IF(ISERROR(VLOOKUP(B42,祝日!$A:$B,2,FALSE)),"",VLOOKUP(B42,祝日!$A:$B,2,FALSE))</f>
        <v/>
      </c>
      <c r="E42" s="40"/>
      <c r="F42" s="40"/>
      <c r="G42" s="40"/>
      <c r="H42" s="41" t="str">
        <f t="shared" si="0"/>
        <v/>
      </c>
      <c r="I42" s="39" t="str">
        <f t="shared" si="5"/>
        <v/>
      </c>
      <c r="J42" s="67" t="str">
        <f t="shared" si="1"/>
        <v/>
      </c>
      <c r="K42" s="42"/>
      <c r="L42" s="42"/>
      <c r="M42" s="43"/>
      <c r="N42" s="56"/>
      <c r="O42" s="58"/>
      <c r="P42" s="33"/>
      <c r="Q42" s="34">
        <f t="shared" si="2"/>
        <v>0</v>
      </c>
      <c r="R42" s="34">
        <f t="shared" si="3"/>
        <v>0</v>
      </c>
      <c r="S42" s="34">
        <f t="shared" si="6"/>
        <v>0</v>
      </c>
      <c r="T42" s="33">
        <f t="shared" si="7"/>
        <v>0</v>
      </c>
      <c r="U42" s="34">
        <f t="shared" si="8"/>
        <v>0</v>
      </c>
      <c r="V42" s="33">
        <f t="shared" si="9"/>
        <v>0</v>
      </c>
      <c r="W42" s="33">
        <f t="shared" si="10"/>
        <v>0</v>
      </c>
      <c r="X42" s="40">
        <v>1</v>
      </c>
      <c r="Y42" s="33"/>
      <c r="Z42" s="33"/>
      <c r="AA42" s="33"/>
      <c r="AB42" s="33"/>
    </row>
    <row r="43" spans="1:28" s="34" customFormat="1" ht="22.9" customHeight="1">
      <c r="A43" s="33"/>
      <c r="B43" s="111" t="s">
        <v>15</v>
      </c>
      <c r="C43" s="112"/>
      <c r="D43" s="36"/>
      <c r="E43" s="36"/>
      <c r="F43" s="36"/>
      <c r="G43" s="36"/>
      <c r="H43" s="36"/>
      <c r="I43" s="36" t="s">
        <v>19</v>
      </c>
      <c r="J43" s="36" t="s">
        <v>20</v>
      </c>
      <c r="K43" s="36" t="s">
        <v>56</v>
      </c>
      <c r="L43" s="36" t="s">
        <v>16</v>
      </c>
      <c r="M43" s="36" t="s">
        <v>28</v>
      </c>
      <c r="N43" s="54" t="s">
        <v>71</v>
      </c>
      <c r="O43" s="59"/>
      <c r="P43" s="33"/>
      <c r="Q43" s="33"/>
      <c r="R43" s="33">
        <f>SUM(S12:S42)</f>
        <v>0</v>
      </c>
      <c r="S43" s="33">
        <f>SUM(T12:T42) /2</f>
        <v>0</v>
      </c>
      <c r="T43" s="33">
        <f>SUM(U12:U42)</f>
        <v>0</v>
      </c>
      <c r="U43" s="33">
        <f>SUM(V12:V42) /2</f>
        <v>0</v>
      </c>
      <c r="V43" s="33">
        <f>SUM(W12:W42)</f>
        <v>0</v>
      </c>
      <c r="W43" s="33"/>
      <c r="X43" s="33"/>
      <c r="Y43" s="33"/>
      <c r="Z43" s="33"/>
      <c r="AA43" s="33"/>
    </row>
    <row r="44" spans="1:28" s="48" customFormat="1" ht="23.1" customHeight="1" thickBot="1">
      <c r="A44" s="31"/>
      <c r="B44" s="113">
        <f>COUNTIF(Q12:Q42,"1")</f>
        <v>0</v>
      </c>
      <c r="C44" s="114"/>
      <c r="D44" s="45"/>
      <c r="E44" s="45"/>
      <c r="F44" s="45"/>
      <c r="G44" s="45"/>
      <c r="H44" s="46"/>
      <c r="I44" s="46">
        <f>SUM(I12:I42)</f>
        <v>0</v>
      </c>
      <c r="J44" s="45">
        <f>SUM(J12:J42)</f>
        <v>0</v>
      </c>
      <c r="K44" s="45">
        <f>SUM(R43:S43)</f>
        <v>0</v>
      </c>
      <c r="L44" s="45">
        <f>SUM(T43:U43)</f>
        <v>0</v>
      </c>
      <c r="M44" s="45">
        <f>SUM(M12:M42)</f>
        <v>0</v>
      </c>
      <c r="N44" s="47">
        <f>SUM(N12:N42)</f>
        <v>0</v>
      </c>
      <c r="O44" s="60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</row>
    <row r="45" spans="1:28" ht="14.25" customHeight="1">
      <c r="A45" s="1"/>
      <c r="B45" s="2"/>
      <c r="C45" s="2"/>
      <c r="D45" s="2"/>
      <c r="E45" s="2"/>
      <c r="F45" s="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7"/>
      <c r="Z45" s="1"/>
      <c r="AA45" s="1"/>
    </row>
    <row r="46" spans="1:28" ht="14.25" customHeight="1">
      <c r="A46" s="1"/>
      <c r="B46" s="2"/>
      <c r="C46" s="2"/>
      <c r="D46" s="2"/>
      <c r="E46" s="2"/>
      <c r="F46" s="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7"/>
      <c r="Z46" s="1"/>
      <c r="AA46" s="1"/>
    </row>
    <row r="47" spans="1:28" ht="14.25" customHeight="1" thickBot="1">
      <c r="A47" s="1"/>
      <c r="B47" s="2"/>
      <c r="C47" s="2"/>
      <c r="D47" s="2"/>
      <c r="E47" s="2"/>
      <c r="F47" s="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7"/>
      <c r="Z47" s="1"/>
      <c r="AA47" s="1"/>
    </row>
    <row r="48" spans="1:28" ht="14.25" customHeight="1">
      <c r="A48" s="1"/>
      <c r="B48" s="2"/>
      <c r="C48" s="2"/>
      <c r="D48" s="2"/>
      <c r="E48" s="2"/>
      <c r="F48" s="2"/>
      <c r="G48" s="1"/>
      <c r="H48" s="1"/>
      <c r="I48" s="1"/>
      <c r="J48" s="1"/>
      <c r="K48" s="1"/>
      <c r="L48" s="1"/>
      <c r="M48" s="83" t="s">
        <v>62</v>
      </c>
      <c r="N48" s="84"/>
      <c r="O48" s="72" t="s">
        <v>10</v>
      </c>
      <c r="P48" s="1"/>
      <c r="Q48" s="1"/>
      <c r="R48" s="1"/>
      <c r="S48" s="1"/>
      <c r="T48" s="1"/>
      <c r="U48" s="1"/>
      <c r="V48" s="1"/>
      <c r="W48" s="1"/>
      <c r="X48" s="1"/>
      <c r="Y48" s="7"/>
      <c r="Z48" s="1"/>
      <c r="AA48" s="1"/>
    </row>
    <row r="49" spans="1:28" ht="14.25" customHeight="1">
      <c r="A49" s="1"/>
      <c r="B49" s="2"/>
      <c r="C49" s="2"/>
      <c r="D49" s="2"/>
      <c r="E49" s="2"/>
      <c r="F49" s="2"/>
      <c r="G49" s="1"/>
      <c r="H49" s="1"/>
      <c r="I49" s="1"/>
      <c r="J49" s="1"/>
      <c r="K49" s="1"/>
      <c r="L49" s="1"/>
      <c r="M49" s="85"/>
      <c r="N49" s="86"/>
      <c r="O49" s="73"/>
      <c r="P49" s="1"/>
      <c r="Q49" s="1"/>
      <c r="R49" s="1"/>
      <c r="S49" s="1"/>
      <c r="T49" s="1"/>
      <c r="U49" s="1"/>
      <c r="V49" s="1"/>
      <c r="W49" s="1"/>
      <c r="X49" s="1"/>
      <c r="Y49" s="7"/>
      <c r="Z49" s="1"/>
      <c r="AA49" s="1"/>
    </row>
    <row r="50" spans="1:28" ht="14.25" customHeight="1">
      <c r="A50" s="1"/>
      <c r="B50" s="2"/>
      <c r="C50" s="2"/>
      <c r="D50" s="2"/>
      <c r="E50" s="2"/>
      <c r="F50" s="2"/>
      <c r="G50" s="1"/>
      <c r="H50" s="1"/>
      <c r="I50" s="1"/>
      <c r="J50" s="1"/>
      <c r="L50" s="1"/>
      <c r="M50" s="74"/>
      <c r="N50" s="75"/>
      <c r="O50" s="80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 ht="14.25" customHeight="1">
      <c r="A51" s="1"/>
      <c r="B51" s="2"/>
      <c r="C51" s="2"/>
      <c r="D51" s="2"/>
      <c r="E51" s="2"/>
      <c r="F51" s="2"/>
      <c r="G51" s="1"/>
      <c r="H51" s="1"/>
      <c r="I51" s="1"/>
      <c r="J51" s="1"/>
      <c r="L51" s="1"/>
      <c r="M51" s="76"/>
      <c r="N51" s="77"/>
      <c r="O51" s="8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 ht="14.25" customHeight="1">
      <c r="A52" s="1"/>
      <c r="B52" s="2"/>
      <c r="C52" s="2"/>
      <c r="D52" s="2"/>
      <c r="E52" s="2"/>
      <c r="F52" s="2"/>
      <c r="G52" s="1"/>
      <c r="H52" s="1"/>
      <c r="I52" s="1"/>
      <c r="J52" s="1"/>
      <c r="L52" s="1"/>
      <c r="M52" s="76"/>
      <c r="N52" s="77"/>
      <c r="O52" s="8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 ht="14.25" customHeight="1">
      <c r="A53" s="1"/>
      <c r="B53" s="2"/>
      <c r="C53" s="2"/>
      <c r="D53" s="2"/>
      <c r="E53" s="2"/>
      <c r="F53" s="2"/>
      <c r="G53" s="1"/>
      <c r="H53" s="1"/>
      <c r="I53" s="1"/>
      <c r="J53" s="1"/>
      <c r="L53" s="1"/>
      <c r="M53" s="76"/>
      <c r="N53" s="77"/>
      <c r="O53" s="8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 ht="14.25" customHeight="1" thickBot="1">
      <c r="A54" s="1"/>
      <c r="B54" s="2"/>
      <c r="C54" s="2"/>
      <c r="D54" s="2"/>
      <c r="E54" s="2"/>
      <c r="F54" s="2"/>
      <c r="G54" s="1"/>
      <c r="H54" s="1"/>
      <c r="I54" s="1"/>
      <c r="J54" s="1"/>
      <c r="L54" s="1"/>
      <c r="M54" s="78"/>
      <c r="N54" s="79"/>
      <c r="O54" s="82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8" ht="23.25" customHeight="1">
      <c r="A55" s="1"/>
      <c r="G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8" ht="15.75" customHeight="1">
      <c r="A56" s="1"/>
      <c r="B56" s="2"/>
      <c r="F56" s="1"/>
      <c r="G56" s="1"/>
      <c r="H56" s="1"/>
      <c r="I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8" ht="21" customHeight="1">
      <c r="A57" s="1"/>
      <c r="B57" s="2"/>
      <c r="C57" s="2"/>
      <c r="D57" s="2"/>
      <c r="E57" s="1"/>
      <c r="F57" s="1"/>
      <c r="G57" s="1"/>
      <c r="H57" s="1"/>
      <c r="I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8" ht="14.25" customHeight="1">
      <c r="A58" s="1"/>
      <c r="B58" s="2"/>
      <c r="C58" s="2"/>
      <c r="D58" s="2"/>
      <c r="E58" s="1"/>
      <c r="F58" s="1"/>
      <c r="G58" s="1"/>
      <c r="H58" s="1"/>
      <c r="I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8" ht="14.25" customHeight="1">
      <c r="A59" s="1"/>
      <c r="B59" s="2"/>
      <c r="C59" s="2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8" ht="13.5" customHeight="1">
      <c r="A60" s="1"/>
      <c r="B60" s="1"/>
      <c r="D60" s="2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8" ht="13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8" ht="13.5" customHeight="1">
      <c r="A62" s="1"/>
      <c r="B62" s="1"/>
      <c r="C62" s="1"/>
      <c r="D62" s="1"/>
      <c r="E62" s="3"/>
      <c r="F62" s="2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8" ht="13.5" customHeight="1">
      <c r="A63" s="1"/>
      <c r="B63" s="1"/>
      <c r="C63" s="1"/>
      <c r="D63" s="1"/>
      <c r="E63" s="1"/>
      <c r="F63" s="1"/>
      <c r="G63" s="1"/>
      <c r="H63" s="1"/>
      <c r="I63" s="1"/>
      <c r="J63" s="4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8" ht="13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3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3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3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3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3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3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3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3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3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3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3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3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3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3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3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3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3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3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3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3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3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3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3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3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ht="13.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ht="13.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ht="13.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ht="13.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ht="13.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ht="13.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ht="13.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ht="13.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ht="13.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</sheetData>
  <sheetProtection algorithmName="SHA-512" hashValue="YKP6oR07fSGMjst42L9TuOK9wZ78aWZcaJoUqIN8fvT0qPMUZsdej979x49wQws6gYdYOTC6BrwIsWAOMgeCfA==" saltValue="eHLejgbBi6hfhdw41YT96g==" spinCount="100000" sheet="1" objects="1" scenarios="1"/>
  <protectedRanges>
    <protectedRange sqref="B3:I3" name="範囲2"/>
    <protectedRange sqref="E5:E7 N5:N7 E12:G42 K12:O42" name="menber"/>
  </protectedRanges>
  <mergeCells count="31">
    <mergeCell ref="B3:I3"/>
    <mergeCell ref="B5:D5"/>
    <mergeCell ref="B6:D6"/>
    <mergeCell ref="B43:C43"/>
    <mergeCell ref="B44:C44"/>
    <mergeCell ref="G10:G11"/>
    <mergeCell ref="B10:B11"/>
    <mergeCell ref="C10:C11"/>
    <mergeCell ref="E10:E11"/>
    <mergeCell ref="F10:F11"/>
    <mergeCell ref="D10:D11"/>
    <mergeCell ref="B7:D7"/>
    <mergeCell ref="E5:F5"/>
    <mergeCell ref="E6:F6"/>
    <mergeCell ref="E7:F7"/>
    <mergeCell ref="L5:M5"/>
    <mergeCell ref="L6:M6"/>
    <mergeCell ref="N6:O6"/>
    <mergeCell ref="N5:O5"/>
    <mergeCell ref="M10:M11"/>
    <mergeCell ref="L10:L11"/>
    <mergeCell ref="N10:N11"/>
    <mergeCell ref="O10:O11"/>
    <mergeCell ref="L7:M7"/>
    <mergeCell ref="N7:O7"/>
    <mergeCell ref="J10:J11"/>
    <mergeCell ref="K10:K11"/>
    <mergeCell ref="O48:O49"/>
    <mergeCell ref="M50:N54"/>
    <mergeCell ref="O50:O54"/>
    <mergeCell ref="M48:N49"/>
  </mergeCells>
  <phoneticPr fontId="5"/>
  <conditionalFormatting sqref="B12">
    <cfRule type="expression" dxfId="28" priority="39">
      <formula>"weekday($B11)=1"</formula>
    </cfRule>
  </conditionalFormatting>
  <conditionalFormatting sqref="D15:D19 H15:H19 D13:H14 D20:H42 I13:M42 D12:M12">
    <cfRule type="expression" dxfId="27" priority="34">
      <formula>LEN($D12)&gt;0</formula>
    </cfRule>
    <cfRule type="expression" dxfId="26" priority="35">
      <formula>$C12="日"</formula>
    </cfRule>
    <cfRule type="expression" dxfId="25" priority="36">
      <formula>$C12="土"</formula>
    </cfRule>
  </conditionalFormatting>
  <conditionalFormatting sqref="G15:G19">
    <cfRule type="expression" dxfId="24" priority="28">
      <formula>LEN($D15)&gt;0</formula>
    </cfRule>
    <cfRule type="expression" dxfId="23" priority="29">
      <formula>$C15="日"</formula>
    </cfRule>
    <cfRule type="expression" dxfId="22" priority="30">
      <formula>$C15="土"</formula>
    </cfRule>
  </conditionalFormatting>
  <conditionalFormatting sqref="E15:F15">
    <cfRule type="expression" dxfId="21" priority="19">
      <formula>LEN($D15)&gt;0</formula>
    </cfRule>
    <cfRule type="expression" dxfId="20" priority="20">
      <formula>$C15="日"</formula>
    </cfRule>
    <cfRule type="expression" dxfId="19" priority="21">
      <formula>$C15="土"</formula>
    </cfRule>
  </conditionalFormatting>
  <conditionalFormatting sqref="E16:F16">
    <cfRule type="expression" dxfId="18" priority="16">
      <formula>LEN($D16)&gt;0</formula>
    </cfRule>
    <cfRule type="expression" dxfId="17" priority="17">
      <formula>$C16="日"</formula>
    </cfRule>
    <cfRule type="expression" dxfId="16" priority="18">
      <formula>$C16="土"</formula>
    </cfRule>
  </conditionalFormatting>
  <conditionalFormatting sqref="E17:F17">
    <cfRule type="expression" dxfId="15" priority="13">
      <formula>LEN($D17)&gt;0</formula>
    </cfRule>
    <cfRule type="expression" dxfId="14" priority="14">
      <formula>$C17="日"</formula>
    </cfRule>
    <cfRule type="expression" dxfId="13" priority="15">
      <formula>$C17="土"</formula>
    </cfRule>
  </conditionalFormatting>
  <conditionalFormatting sqref="E18:F18">
    <cfRule type="expression" dxfId="12" priority="10">
      <formula>LEN($D18)&gt;0</formula>
    </cfRule>
    <cfRule type="expression" dxfId="11" priority="11">
      <formula>$C18="日"</formula>
    </cfRule>
    <cfRule type="expression" dxfId="10" priority="12">
      <formula>$C18="土"</formula>
    </cfRule>
  </conditionalFormatting>
  <conditionalFormatting sqref="E19:F19">
    <cfRule type="expression" dxfId="9" priority="7">
      <formula>LEN($D19)&gt;0</formula>
    </cfRule>
    <cfRule type="expression" dxfId="8" priority="8">
      <formula>$C19="日"</formula>
    </cfRule>
    <cfRule type="expression" dxfId="7" priority="9">
      <formula>$C19="土"</formula>
    </cfRule>
  </conditionalFormatting>
  <conditionalFormatting sqref="N12:N42">
    <cfRule type="expression" dxfId="6" priority="1">
      <formula>LEN($D12)&gt;0</formula>
    </cfRule>
    <cfRule type="expression" dxfId="5" priority="2">
      <formula>$C12="日"</formula>
    </cfRule>
    <cfRule type="expression" dxfId="4" priority="3">
      <formula>$C12="土"</formula>
    </cfRule>
  </conditionalFormatting>
  <dataValidations count="1">
    <dataValidation type="list" allowBlank="1" showInputMessage="1" showErrorMessage="1" sqref="K12:L42">
      <formula1>"0.5日,1日"</formula1>
    </dataValidation>
  </dataValidations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ボタン1_Click">
                <anchor moveWithCells="1" sizeWithCells="1">
                  <from>
                    <xdr:col>6</xdr:col>
                    <xdr:colOff>247650</xdr:colOff>
                    <xdr:row>4</xdr:row>
                    <xdr:rowOff>19050</xdr:rowOff>
                  </from>
                  <to>
                    <xdr:col>8</xdr:col>
                    <xdr:colOff>695325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Button 17">
              <controlPr defaultSize="0" print="0" autoFill="0" autoPict="0" macro="[0]!クリア_Click">
                <anchor moveWithCells="1" sizeWithCells="1">
                  <from>
                    <xdr:col>6</xdr:col>
                    <xdr:colOff>247650</xdr:colOff>
                    <xdr:row>5</xdr:row>
                    <xdr:rowOff>161925</xdr:rowOff>
                  </from>
                  <to>
                    <xdr:col>8</xdr:col>
                    <xdr:colOff>695325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1004"/>
  <sheetViews>
    <sheetView zoomScale="80" zoomScaleNormal="80" workbookViewId="0">
      <selection activeCell="Z16" sqref="Z16"/>
    </sheetView>
  </sheetViews>
  <sheetFormatPr defaultColWidth="15.125" defaultRowHeight="13.5"/>
  <cols>
    <col min="1" max="1" width="6" customWidth="1"/>
    <col min="2" max="2" width="6.25" customWidth="1"/>
    <col min="3" max="3" width="6.125" customWidth="1"/>
    <col min="4" max="4" width="5.125" customWidth="1"/>
    <col min="5" max="5" width="9" bestFit="1" customWidth="1"/>
    <col min="6" max="6" width="9.625" customWidth="1"/>
    <col min="7" max="7" width="8.375" customWidth="1"/>
    <col min="8" max="8" width="12.625" hidden="1" customWidth="1"/>
    <col min="9" max="9" width="12.625" bestFit="1" customWidth="1"/>
    <col min="10" max="10" width="10.625" customWidth="1"/>
    <col min="11" max="11" width="9.875" customWidth="1"/>
    <col min="12" max="12" width="8.75" customWidth="1"/>
    <col min="13" max="13" width="12" customWidth="1"/>
    <col min="14" max="14" width="9.625" customWidth="1"/>
    <col min="15" max="15" width="19" customWidth="1"/>
    <col min="16" max="16" width="2.75" customWidth="1"/>
    <col min="17" max="23" width="2.75" hidden="1" customWidth="1"/>
    <col min="24" max="24" width="5.875" hidden="1" customWidth="1"/>
    <col min="25" max="25" width="8.75" hidden="1" customWidth="1"/>
    <col min="26" max="27" width="7.75" customWidth="1"/>
  </cols>
  <sheetData>
    <row r="1" spans="1:28" ht="19.5" customHeight="1">
      <c r="A1" s="1"/>
      <c r="B1" s="1"/>
      <c r="C1" s="1"/>
      <c r="D1" s="1"/>
      <c r="E1" s="1"/>
      <c r="F1" s="1"/>
      <c r="G1" s="1"/>
      <c r="H1" s="1"/>
      <c r="I1" s="1"/>
      <c r="J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8" ht="18.75" customHeight="1">
      <c r="A2" s="1"/>
      <c r="B2" s="1"/>
      <c r="C2" s="1"/>
      <c r="D2" s="1"/>
      <c r="E2" s="1"/>
      <c r="F2" s="1"/>
      <c r="G2" s="1"/>
      <c r="H2" s="1"/>
      <c r="I2" s="1"/>
      <c r="J2" s="1" t="s">
        <v>0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8" ht="22.5" customHeight="1">
      <c r="A3" s="1"/>
      <c r="B3" s="175">
        <v>43497</v>
      </c>
      <c r="C3" s="176"/>
      <c r="D3" s="176"/>
      <c r="E3" s="176"/>
      <c r="F3" s="176"/>
      <c r="G3" s="177" t="s">
        <v>1</v>
      </c>
      <c r="H3" s="177"/>
      <c r="I3" s="177"/>
      <c r="J3" s="178"/>
      <c r="K3" s="178"/>
      <c r="L3" s="178"/>
      <c r="M3" s="178"/>
      <c r="N3" s="178"/>
      <c r="O3" s="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8" ht="5.25" customHeight="1" thickBo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8" ht="21" customHeight="1">
      <c r="A5" s="1"/>
      <c r="B5" s="179" t="s">
        <v>72</v>
      </c>
      <c r="C5" s="180"/>
      <c r="D5" s="181">
        <v>0.375</v>
      </c>
      <c r="E5" s="182"/>
      <c r="F5" s="183"/>
      <c r="G5" s="5"/>
      <c r="H5" s="5"/>
      <c r="I5" s="5"/>
      <c r="J5" s="105" t="s">
        <v>63</v>
      </c>
      <c r="K5" s="106"/>
      <c r="L5" s="184" t="s">
        <v>83</v>
      </c>
      <c r="M5" s="184"/>
      <c r="N5" s="185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8" ht="21" customHeight="1">
      <c r="A6" s="1"/>
      <c r="B6" s="161" t="s">
        <v>73</v>
      </c>
      <c r="C6" s="162"/>
      <c r="D6" s="163">
        <v>0.75</v>
      </c>
      <c r="E6" s="164"/>
      <c r="F6" s="165"/>
      <c r="G6" s="5"/>
      <c r="H6" s="5"/>
      <c r="I6" s="5"/>
      <c r="J6" s="108" t="s">
        <v>64</v>
      </c>
      <c r="K6" s="109"/>
      <c r="L6" s="166" t="s">
        <v>81</v>
      </c>
      <c r="M6" s="166"/>
      <c r="N6" s="167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8" ht="21" customHeight="1" thickBot="1">
      <c r="A7" s="1"/>
      <c r="B7" s="168" t="s">
        <v>69</v>
      </c>
      <c r="C7" s="169"/>
      <c r="D7" s="170">
        <v>4.1666666666666664E-2</v>
      </c>
      <c r="E7" s="171"/>
      <c r="F7" s="172"/>
      <c r="G7" s="5"/>
      <c r="H7" s="5"/>
      <c r="I7" s="5"/>
      <c r="J7" s="121" t="s">
        <v>65</v>
      </c>
      <c r="K7" s="122"/>
      <c r="L7" s="173" t="s">
        <v>82</v>
      </c>
      <c r="M7" s="173"/>
      <c r="N7" s="174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8" ht="16.899999999999999" customHeight="1" thickBot="1">
      <c r="A8" s="1"/>
      <c r="B8" s="1"/>
      <c r="C8" s="1"/>
      <c r="D8" s="1"/>
      <c r="E8" s="1"/>
      <c r="F8" s="1"/>
      <c r="G8" s="1"/>
      <c r="H8" s="1"/>
      <c r="I8" s="1"/>
      <c r="J8" s="22" t="s">
        <v>2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8" ht="19.5" customHeight="1">
      <c r="A9" s="2"/>
      <c r="B9" s="148" t="s">
        <v>3</v>
      </c>
      <c r="C9" s="150" t="s">
        <v>4</v>
      </c>
      <c r="D9" s="152" t="s">
        <v>14</v>
      </c>
      <c r="E9" s="154" t="s">
        <v>5</v>
      </c>
      <c r="F9" s="154" t="s">
        <v>6</v>
      </c>
      <c r="G9" s="154" t="s">
        <v>74</v>
      </c>
      <c r="H9" s="18" t="s">
        <v>7</v>
      </c>
      <c r="I9" s="18" t="s">
        <v>18</v>
      </c>
      <c r="J9" s="152" t="s">
        <v>20</v>
      </c>
      <c r="K9" s="156" t="s">
        <v>11</v>
      </c>
      <c r="L9" s="156" t="s">
        <v>13</v>
      </c>
      <c r="M9" s="158" t="s">
        <v>55</v>
      </c>
      <c r="N9" s="159" t="s">
        <v>70</v>
      </c>
      <c r="O9" s="146" t="s">
        <v>32</v>
      </c>
      <c r="P9" s="1"/>
      <c r="T9" s="2"/>
      <c r="V9" s="2"/>
      <c r="W9" s="2"/>
      <c r="X9" s="2"/>
      <c r="Y9" s="2"/>
      <c r="Z9" s="2"/>
      <c r="AA9" s="2"/>
      <c r="AB9" s="2"/>
    </row>
    <row r="10" spans="1:28" ht="21" customHeight="1">
      <c r="A10" s="2"/>
      <c r="B10" s="149"/>
      <c r="C10" s="151"/>
      <c r="D10" s="153"/>
      <c r="E10" s="155"/>
      <c r="F10" s="155"/>
      <c r="G10" s="155"/>
      <c r="H10" s="6" t="s">
        <v>8</v>
      </c>
      <c r="I10" s="6" t="s">
        <v>8</v>
      </c>
      <c r="J10" s="153"/>
      <c r="K10" s="157"/>
      <c r="L10" s="157"/>
      <c r="M10" s="157"/>
      <c r="N10" s="160"/>
      <c r="O10" s="147"/>
      <c r="P10" s="1"/>
      <c r="Q10" t="s">
        <v>21</v>
      </c>
      <c r="R10" t="s">
        <v>22</v>
      </c>
      <c r="S10" t="s">
        <v>24</v>
      </c>
      <c r="T10" s="2" t="s">
        <v>25</v>
      </c>
      <c r="U10" t="s">
        <v>30</v>
      </c>
      <c r="V10" s="2" t="s">
        <v>31</v>
      </c>
      <c r="W10" s="2" t="s">
        <v>26</v>
      </c>
      <c r="X10" s="2" t="s">
        <v>27</v>
      </c>
      <c r="Y10" s="2" t="s">
        <v>12</v>
      </c>
      <c r="Z10" s="2"/>
      <c r="AA10" s="2"/>
      <c r="AB10" s="2"/>
    </row>
    <row r="11" spans="1:28" ht="18" customHeight="1">
      <c r="A11" s="1"/>
      <c r="B11" s="19">
        <f>B3</f>
        <v>43497</v>
      </c>
      <c r="C11" s="10" t="str">
        <f>TEXT(B11,"aaa")</f>
        <v>金</v>
      </c>
      <c r="D11" s="16" t="str">
        <f>IF(ISERROR(VLOOKUP(B11,祝日!$A:$B,2,FALSE)),"",VLOOKUP(B11,祝日!$A:$B,2,FALSE))</f>
        <v/>
      </c>
      <c r="E11" s="8">
        <v>0.375</v>
      </c>
      <c r="F11" s="8">
        <v>8.3333333333333329E-2</v>
      </c>
      <c r="G11" s="8">
        <v>4.1666666666666664E-2</v>
      </c>
      <c r="H11" s="9">
        <f t="shared" ref="H11:H41" si="0">IF(IF(E11="","",IF(F11&lt;E11,F11+X11-E11-G11,F11-E11-G11))=0,0,IF(E11="","",IF(F11="","",IF(F11&lt;E11,F11+X11-E11-G11,F11-E11-G11))))</f>
        <v>0.66666666666666663</v>
      </c>
      <c r="I11" s="16">
        <f>IF(TEXT(H11,"h:mm")="0:00",0,IF(TEXT(C11,"aaa")="日",IF(OR(E11="",F11=""),"",H11*24),IF(J11="abc",IF(OR(E11="",F11=""),"",H11*24),IF(OR(E11="",F11=""),"",H11*24))))</f>
        <v>16</v>
      </c>
      <c r="J11" s="13"/>
      <c r="K11" s="14"/>
      <c r="L11" s="14"/>
      <c r="M11" s="15">
        <v>4</v>
      </c>
      <c r="N11" s="61"/>
      <c r="O11" s="62"/>
      <c r="P11" s="1"/>
      <c r="Q11">
        <f t="shared" ref="Q11:Q41" si="1">IF(E11="",0,1)</f>
        <v>1</v>
      </c>
      <c r="R11">
        <f>IF(AND(TEXT(C11,"aaa")&lt;&gt;"土",TEXT(C11,"aaa")&lt;&gt;"日",D11&lt;&gt;"祝日",TEXT(C11,"aaa")&lt;&gt;""),1,0)</f>
        <v>1</v>
      </c>
      <c r="S11">
        <f>COUNTIF(K11,"1日")</f>
        <v>0</v>
      </c>
      <c r="T11" s="1">
        <f>COUNTIF(K11,"0.5日")</f>
        <v>0</v>
      </c>
      <c r="U11">
        <f>COUNTIF(L11,"1日")</f>
        <v>0</v>
      </c>
      <c r="V11" s="1">
        <f>COUNTIF(L11,"0.5日")</f>
        <v>0</v>
      </c>
      <c r="W11" s="1">
        <f>COUNTIF(J11,"代休")</f>
        <v>0</v>
      </c>
      <c r="X11" s="8">
        <v>1</v>
      </c>
      <c r="Y11" s="2" t="s">
        <v>29</v>
      </c>
      <c r="Z11" s="1"/>
      <c r="AA11" s="1"/>
      <c r="AB11" s="1"/>
    </row>
    <row r="12" spans="1:28" ht="18" customHeight="1">
      <c r="A12" s="1"/>
      <c r="B12" s="19">
        <f>IF(ISERROR(DATEVALUE(YEAR(B11)&amp;"/"&amp;MONTH(B11)&amp;"/"&amp;DAY(B11)+1)),"",DATEVALUE(YEAR(B11)&amp;"/"&amp;MONTH(B11)&amp;"/"&amp;DAY(B11)+1))</f>
        <v>43498</v>
      </c>
      <c r="C12" s="10" t="str">
        <f t="shared" ref="C12:C41" si="2">TEXT(B12,"aaa")</f>
        <v>土</v>
      </c>
      <c r="D12" s="16" t="str">
        <f>IF(ISERROR(VLOOKUP(B12,祝日!$A:$B,2,FALSE)),"",VLOOKUP(B12,祝日!$A:$B,2,FALSE))</f>
        <v/>
      </c>
      <c r="E12" s="8"/>
      <c r="F12" s="8"/>
      <c r="G12" s="8"/>
      <c r="H12" s="9" t="str">
        <f t="shared" si="0"/>
        <v/>
      </c>
      <c r="I12" s="16" t="str">
        <f t="shared" ref="I12:I41" si="3">IF(TEXT(H12,"h:mm")="0:00",0,IF(TEXT(C12,"aaa")="日",IF(OR(E12="",F12=""),"",H12*24),IF(J12="abc",IF(OR(E12="",F12=""),"",H12*24),IF(OR(E12="",F12=""),"",H12*24))))</f>
        <v/>
      </c>
      <c r="J12" s="13"/>
      <c r="K12" s="14"/>
      <c r="L12" s="14"/>
      <c r="M12" s="15"/>
      <c r="N12" s="61"/>
      <c r="O12" s="62"/>
      <c r="P12" s="2"/>
      <c r="Q12">
        <f t="shared" si="1"/>
        <v>0</v>
      </c>
      <c r="R12">
        <f t="shared" ref="R12:R41" si="4">IF(AND(TEXT(C12,"aaa")&lt;&gt;"土",TEXT(C12,"aaa")&lt;&gt;"日",D12&lt;&gt;"祝日",TEXT(C12,"aaa")&lt;&gt;""),1,0)</f>
        <v>0</v>
      </c>
      <c r="S12">
        <f t="shared" ref="S12:S41" si="5">COUNTIF(K12,"1日")</f>
        <v>0</v>
      </c>
      <c r="T12" s="1">
        <f t="shared" ref="T12:T41" si="6">COUNTIF(K12,"0.5日")</f>
        <v>0</v>
      </c>
      <c r="U12">
        <f t="shared" ref="U12:U41" si="7">COUNTIF(L12,"1日")</f>
        <v>0</v>
      </c>
      <c r="V12" s="1">
        <f t="shared" ref="V12:V41" si="8">COUNTIF(L12,"0.5日")</f>
        <v>0</v>
      </c>
      <c r="W12" s="1">
        <f t="shared" ref="W12:W41" si="9">COUNTIF(J12,"代休")</f>
        <v>0</v>
      </c>
      <c r="X12" s="8">
        <v>1</v>
      </c>
      <c r="Y12" s="2" t="s">
        <v>57</v>
      </c>
      <c r="Z12" s="1"/>
      <c r="AA12" s="1"/>
      <c r="AB12" s="11"/>
    </row>
    <row r="13" spans="1:28" ht="18" customHeight="1">
      <c r="A13" s="1"/>
      <c r="B13" s="19">
        <f t="shared" ref="B13:B41" si="10">IF(ISERROR(DATEVALUE(YEAR(B12)&amp;"/"&amp;MONTH(B12)&amp;"/"&amp;DAY(B12)+1)),"",DATEVALUE(YEAR(B12)&amp;"/"&amp;MONTH(B12)&amp;"/"&amp;DAY(B12)+1))</f>
        <v>43499</v>
      </c>
      <c r="C13" s="10" t="str">
        <f t="shared" si="2"/>
        <v>日</v>
      </c>
      <c r="D13" s="16" t="str">
        <f>IF(ISERROR(VLOOKUP(B13,祝日!$A:$B,2,FALSE)),"",VLOOKUP(B13,祝日!$A:$B,2,FALSE))</f>
        <v/>
      </c>
      <c r="E13" s="8"/>
      <c r="F13" s="8"/>
      <c r="G13" s="8"/>
      <c r="H13" s="9" t="str">
        <f t="shared" si="0"/>
        <v/>
      </c>
      <c r="I13" s="16" t="str">
        <f t="shared" si="3"/>
        <v/>
      </c>
      <c r="J13" s="13"/>
      <c r="K13" s="14"/>
      <c r="L13" s="14"/>
      <c r="M13" s="15"/>
      <c r="N13" s="61"/>
      <c r="O13" s="62"/>
      <c r="P13" s="1"/>
      <c r="Q13">
        <f t="shared" si="1"/>
        <v>0</v>
      </c>
      <c r="R13">
        <f t="shared" si="4"/>
        <v>0</v>
      </c>
      <c r="S13">
        <f t="shared" si="5"/>
        <v>0</v>
      </c>
      <c r="T13" s="1">
        <f t="shared" si="6"/>
        <v>0</v>
      </c>
      <c r="U13">
        <f t="shared" si="7"/>
        <v>0</v>
      </c>
      <c r="V13" s="1">
        <f t="shared" si="8"/>
        <v>0</v>
      </c>
      <c r="W13" s="1">
        <f t="shared" si="9"/>
        <v>0</v>
      </c>
      <c r="X13" s="8">
        <v>1</v>
      </c>
      <c r="Y13" s="2"/>
      <c r="Z13" s="1"/>
      <c r="AA13" s="1"/>
      <c r="AB13" s="1"/>
    </row>
    <row r="14" spans="1:28" ht="18" customHeight="1">
      <c r="A14" s="1"/>
      <c r="B14" s="19">
        <f t="shared" si="10"/>
        <v>43500</v>
      </c>
      <c r="C14" s="10" t="str">
        <f t="shared" si="2"/>
        <v>月</v>
      </c>
      <c r="D14" s="16" t="str">
        <f>IF(ISERROR(VLOOKUP(B14,祝日!$A:$B,2,FALSE)),"",VLOOKUP(B14,祝日!$A:$B,2,FALSE))</f>
        <v/>
      </c>
      <c r="E14" s="8"/>
      <c r="F14" s="8"/>
      <c r="G14" s="8"/>
      <c r="H14" s="9" t="str">
        <f t="shared" si="0"/>
        <v/>
      </c>
      <c r="I14" s="16" t="str">
        <f t="shared" si="3"/>
        <v/>
      </c>
      <c r="J14" s="13"/>
      <c r="K14" s="14"/>
      <c r="L14" s="14" t="s">
        <v>53</v>
      </c>
      <c r="M14" s="15"/>
      <c r="N14" s="61"/>
      <c r="O14" s="62"/>
      <c r="P14" s="1"/>
      <c r="Q14">
        <f t="shared" si="1"/>
        <v>0</v>
      </c>
      <c r="R14">
        <f t="shared" si="4"/>
        <v>1</v>
      </c>
      <c r="S14">
        <f t="shared" si="5"/>
        <v>0</v>
      </c>
      <c r="T14" s="1">
        <f t="shared" si="6"/>
        <v>0</v>
      </c>
      <c r="U14">
        <f t="shared" si="7"/>
        <v>1</v>
      </c>
      <c r="V14" s="1">
        <f t="shared" si="8"/>
        <v>0</v>
      </c>
      <c r="W14" s="1">
        <f t="shared" si="9"/>
        <v>0</v>
      </c>
      <c r="X14" s="8">
        <v>1</v>
      </c>
      <c r="Y14" s="2"/>
      <c r="Z14" s="1"/>
      <c r="AA14" s="1"/>
      <c r="AB14" s="1"/>
    </row>
    <row r="15" spans="1:28" ht="18" customHeight="1">
      <c r="A15" s="1"/>
      <c r="B15" s="19">
        <f t="shared" si="10"/>
        <v>43501</v>
      </c>
      <c r="C15" s="10" t="str">
        <f t="shared" si="2"/>
        <v>火</v>
      </c>
      <c r="D15" s="16" t="str">
        <f>IF(ISERROR(VLOOKUP(B15,祝日!$A:$B,2,FALSE)),"",VLOOKUP(B15,祝日!$A:$B,2,FALSE))</f>
        <v/>
      </c>
      <c r="E15" s="8"/>
      <c r="F15" s="8"/>
      <c r="G15" s="8"/>
      <c r="H15" s="9" t="str">
        <f t="shared" si="0"/>
        <v/>
      </c>
      <c r="I15" s="16" t="str">
        <f t="shared" si="3"/>
        <v/>
      </c>
      <c r="J15" s="13"/>
      <c r="K15" s="14"/>
      <c r="L15" s="14"/>
      <c r="M15" s="15"/>
      <c r="N15" s="61"/>
      <c r="O15" s="62" t="s">
        <v>84</v>
      </c>
      <c r="P15" s="1"/>
      <c r="Q15">
        <f t="shared" si="1"/>
        <v>0</v>
      </c>
      <c r="R15">
        <f t="shared" si="4"/>
        <v>1</v>
      </c>
      <c r="S15">
        <f t="shared" si="5"/>
        <v>0</v>
      </c>
      <c r="T15" s="1">
        <f t="shared" si="6"/>
        <v>0</v>
      </c>
      <c r="U15">
        <f t="shared" si="7"/>
        <v>0</v>
      </c>
      <c r="V15" s="1">
        <f t="shared" si="8"/>
        <v>0</v>
      </c>
      <c r="W15" s="1">
        <f t="shared" si="9"/>
        <v>0</v>
      </c>
      <c r="X15" s="8">
        <v>1</v>
      </c>
      <c r="Y15" s="1"/>
      <c r="Z15" s="1"/>
      <c r="AA15" s="1"/>
      <c r="AB15" s="1"/>
    </row>
    <row r="16" spans="1:28" ht="18" customHeight="1">
      <c r="A16" s="1"/>
      <c r="B16" s="19">
        <f t="shared" si="10"/>
        <v>43502</v>
      </c>
      <c r="C16" s="10" t="str">
        <f t="shared" si="2"/>
        <v>水</v>
      </c>
      <c r="D16" s="16" t="str">
        <f>IF(ISERROR(VLOOKUP(B16,祝日!$A:$B,2,FALSE)),"",VLOOKUP(B16,祝日!$A:$B,2,FALSE))</f>
        <v/>
      </c>
      <c r="E16" s="8">
        <v>0.375</v>
      </c>
      <c r="F16" s="8">
        <v>8.3333333333333329E-2</v>
      </c>
      <c r="G16" s="8">
        <v>4.1666666666666664E-2</v>
      </c>
      <c r="H16" s="9">
        <f t="shared" si="0"/>
        <v>0.66666666666666663</v>
      </c>
      <c r="I16" s="16">
        <f t="shared" si="3"/>
        <v>16</v>
      </c>
      <c r="J16" s="13"/>
      <c r="K16" s="14"/>
      <c r="L16" s="14"/>
      <c r="M16" s="15">
        <v>4</v>
      </c>
      <c r="N16" s="61"/>
      <c r="O16" s="62"/>
      <c r="P16" s="1"/>
      <c r="Q16">
        <f t="shared" si="1"/>
        <v>1</v>
      </c>
      <c r="R16">
        <f t="shared" si="4"/>
        <v>1</v>
      </c>
      <c r="S16">
        <f t="shared" si="5"/>
        <v>0</v>
      </c>
      <c r="T16" s="1">
        <f t="shared" si="6"/>
        <v>0</v>
      </c>
      <c r="U16">
        <f t="shared" si="7"/>
        <v>0</v>
      </c>
      <c r="V16" s="1">
        <f t="shared" si="8"/>
        <v>0</v>
      </c>
      <c r="W16" s="1">
        <f t="shared" si="9"/>
        <v>0</v>
      </c>
      <c r="X16" s="8">
        <v>1</v>
      </c>
      <c r="Y16" s="1"/>
      <c r="Z16" s="1"/>
      <c r="AA16" s="1"/>
      <c r="AB16" s="1"/>
    </row>
    <row r="17" spans="1:28" ht="18" customHeight="1">
      <c r="A17" s="1"/>
      <c r="B17" s="19">
        <f t="shared" si="10"/>
        <v>43503</v>
      </c>
      <c r="C17" s="10" t="str">
        <f t="shared" si="2"/>
        <v>木</v>
      </c>
      <c r="D17" s="16" t="str">
        <f>IF(ISERROR(VLOOKUP(B17,祝日!$A:$B,2,FALSE)),"",VLOOKUP(B17,祝日!$A:$B,2,FALSE))</f>
        <v/>
      </c>
      <c r="E17" s="8">
        <v>0.375</v>
      </c>
      <c r="F17" s="8">
        <v>0.95833333333333337</v>
      </c>
      <c r="G17" s="8">
        <v>4.1666666666666664E-2</v>
      </c>
      <c r="H17" s="9">
        <f t="shared" si="0"/>
        <v>0.54166666666666674</v>
      </c>
      <c r="I17" s="16">
        <f t="shared" si="3"/>
        <v>13.000000000000002</v>
      </c>
      <c r="J17" s="13"/>
      <c r="K17" s="14"/>
      <c r="L17" s="14"/>
      <c r="M17" s="15">
        <v>1</v>
      </c>
      <c r="N17" s="61"/>
      <c r="O17" s="62"/>
      <c r="P17" s="1"/>
      <c r="Q17">
        <f t="shared" si="1"/>
        <v>1</v>
      </c>
      <c r="R17">
        <f t="shared" si="4"/>
        <v>1</v>
      </c>
      <c r="S17">
        <f t="shared" si="5"/>
        <v>0</v>
      </c>
      <c r="T17" s="1">
        <f t="shared" si="6"/>
        <v>0</v>
      </c>
      <c r="U17">
        <f t="shared" si="7"/>
        <v>0</v>
      </c>
      <c r="V17" s="1">
        <f t="shared" si="8"/>
        <v>0</v>
      </c>
      <c r="W17" s="1">
        <f t="shared" si="9"/>
        <v>0</v>
      </c>
      <c r="X17" s="8">
        <v>1</v>
      </c>
      <c r="Y17" s="1"/>
      <c r="Z17" s="1"/>
      <c r="AA17" s="1"/>
      <c r="AB17" s="1"/>
    </row>
    <row r="18" spans="1:28" ht="18" customHeight="1">
      <c r="A18" s="1"/>
      <c r="B18" s="19">
        <f t="shared" si="10"/>
        <v>43504</v>
      </c>
      <c r="C18" s="10" t="str">
        <f t="shared" si="2"/>
        <v>金</v>
      </c>
      <c r="D18" s="16" t="str">
        <f>IF(ISERROR(VLOOKUP(B18,祝日!$A:$B,2,FALSE)),"",VLOOKUP(B18,祝日!$A:$B,2,FALSE))</f>
        <v/>
      </c>
      <c r="E18" s="8">
        <v>0.375</v>
      </c>
      <c r="F18" s="8">
        <v>0.5</v>
      </c>
      <c r="G18" s="8"/>
      <c r="H18" s="9">
        <f t="shared" si="0"/>
        <v>0.125</v>
      </c>
      <c r="I18" s="16">
        <f t="shared" si="3"/>
        <v>3</v>
      </c>
      <c r="J18" s="13"/>
      <c r="K18" s="14" t="s">
        <v>54</v>
      </c>
      <c r="L18" s="14"/>
      <c r="M18" s="15"/>
      <c r="N18" s="61"/>
      <c r="O18" s="62"/>
      <c r="P18" s="1"/>
      <c r="Q18">
        <f t="shared" si="1"/>
        <v>1</v>
      </c>
      <c r="R18">
        <f t="shared" si="4"/>
        <v>1</v>
      </c>
      <c r="S18">
        <f t="shared" si="5"/>
        <v>0</v>
      </c>
      <c r="T18" s="1">
        <f t="shared" si="6"/>
        <v>1</v>
      </c>
      <c r="U18">
        <f t="shared" si="7"/>
        <v>0</v>
      </c>
      <c r="V18" s="1">
        <f t="shared" si="8"/>
        <v>0</v>
      </c>
      <c r="W18" s="1">
        <f t="shared" si="9"/>
        <v>0</v>
      </c>
      <c r="X18" s="8">
        <v>1</v>
      </c>
      <c r="Y18" s="1"/>
      <c r="Z18" s="1"/>
      <c r="AA18" s="1"/>
      <c r="AB18" s="1"/>
    </row>
    <row r="19" spans="1:28" ht="18" customHeight="1">
      <c r="A19" s="1"/>
      <c r="B19" s="19">
        <f t="shared" si="10"/>
        <v>43505</v>
      </c>
      <c r="C19" s="10" t="str">
        <f t="shared" si="2"/>
        <v>土</v>
      </c>
      <c r="D19" s="16" t="str">
        <f>IF(ISERROR(VLOOKUP(B19,祝日!$A:$B,2,FALSE)),"",VLOOKUP(B19,祝日!$A:$B,2,FALSE))</f>
        <v/>
      </c>
      <c r="E19" s="8"/>
      <c r="F19" s="8"/>
      <c r="G19" s="8"/>
      <c r="H19" s="9" t="str">
        <f t="shared" si="0"/>
        <v/>
      </c>
      <c r="I19" s="16" t="str">
        <f t="shared" si="3"/>
        <v/>
      </c>
      <c r="J19" s="13"/>
      <c r="K19" s="14"/>
      <c r="L19" s="14"/>
      <c r="M19" s="15"/>
      <c r="N19" s="61"/>
      <c r="O19" s="62"/>
      <c r="P19" s="1"/>
      <c r="Q19">
        <f t="shared" si="1"/>
        <v>0</v>
      </c>
      <c r="R19">
        <f t="shared" si="4"/>
        <v>0</v>
      </c>
      <c r="S19">
        <f t="shared" si="5"/>
        <v>0</v>
      </c>
      <c r="T19" s="1">
        <f t="shared" si="6"/>
        <v>0</v>
      </c>
      <c r="U19">
        <f t="shared" si="7"/>
        <v>0</v>
      </c>
      <c r="V19" s="1">
        <f t="shared" si="8"/>
        <v>0</v>
      </c>
      <c r="W19" s="1">
        <f t="shared" si="9"/>
        <v>0</v>
      </c>
      <c r="X19" s="8">
        <v>1</v>
      </c>
      <c r="Y19" s="1"/>
      <c r="Z19" s="1"/>
      <c r="AA19" s="1"/>
      <c r="AB19" s="1"/>
    </row>
    <row r="20" spans="1:28" ht="18" customHeight="1">
      <c r="A20" s="1"/>
      <c r="B20" s="19">
        <f t="shared" si="10"/>
        <v>43506</v>
      </c>
      <c r="C20" s="10" t="str">
        <f t="shared" si="2"/>
        <v>日</v>
      </c>
      <c r="D20" s="16" t="str">
        <f>IF(ISERROR(VLOOKUP(B20,祝日!$A:$B,2,FALSE)),"",VLOOKUP(B20,祝日!$A:$B,2,FALSE))</f>
        <v/>
      </c>
      <c r="E20" s="8">
        <v>0.375</v>
      </c>
      <c r="F20" s="8">
        <v>0.75</v>
      </c>
      <c r="G20" s="8">
        <v>4.1666666666666664E-2</v>
      </c>
      <c r="H20" s="9">
        <f t="shared" si="0"/>
        <v>0.33333333333333331</v>
      </c>
      <c r="I20" s="16">
        <f t="shared" si="3"/>
        <v>8</v>
      </c>
      <c r="J20" s="13"/>
      <c r="K20" s="14"/>
      <c r="L20" s="14"/>
      <c r="M20" s="15"/>
      <c r="N20" s="61"/>
      <c r="O20" s="62"/>
      <c r="P20" s="1"/>
      <c r="Q20">
        <f t="shared" si="1"/>
        <v>1</v>
      </c>
      <c r="R20">
        <f t="shared" si="4"/>
        <v>0</v>
      </c>
      <c r="S20">
        <f t="shared" si="5"/>
        <v>0</v>
      </c>
      <c r="T20" s="1">
        <f t="shared" si="6"/>
        <v>0</v>
      </c>
      <c r="U20">
        <f t="shared" si="7"/>
        <v>0</v>
      </c>
      <c r="V20" s="1">
        <f t="shared" si="8"/>
        <v>0</v>
      </c>
      <c r="W20" s="1">
        <f t="shared" si="9"/>
        <v>0</v>
      </c>
      <c r="X20" s="8">
        <v>1</v>
      </c>
      <c r="Y20" s="1"/>
      <c r="Z20" s="1"/>
      <c r="AA20" s="1"/>
      <c r="AB20" s="1"/>
    </row>
    <row r="21" spans="1:28" ht="18" customHeight="1">
      <c r="A21" s="1"/>
      <c r="B21" s="19">
        <f t="shared" si="10"/>
        <v>43507</v>
      </c>
      <c r="C21" s="10" t="str">
        <f t="shared" si="2"/>
        <v>月</v>
      </c>
      <c r="D21" s="16" t="str">
        <f>IF(ISERROR(VLOOKUP(B21,祝日!$A:$B,2,FALSE)),"",VLOOKUP(B21,祝日!$A:$B,2,FALSE))</f>
        <v>祝日</v>
      </c>
      <c r="E21" s="8"/>
      <c r="F21" s="8"/>
      <c r="G21" s="8"/>
      <c r="H21" s="9" t="str">
        <f t="shared" si="0"/>
        <v/>
      </c>
      <c r="I21" s="16" t="str">
        <f t="shared" si="3"/>
        <v/>
      </c>
      <c r="J21" s="13"/>
      <c r="K21" s="14"/>
      <c r="L21" s="14"/>
      <c r="M21" s="15"/>
      <c r="N21" s="61"/>
      <c r="O21" s="62"/>
      <c r="P21" s="1"/>
      <c r="Q21">
        <f t="shared" si="1"/>
        <v>0</v>
      </c>
      <c r="R21">
        <f t="shared" si="4"/>
        <v>0</v>
      </c>
      <c r="S21">
        <f t="shared" si="5"/>
        <v>0</v>
      </c>
      <c r="T21" s="1">
        <f t="shared" si="6"/>
        <v>0</v>
      </c>
      <c r="U21">
        <f t="shared" si="7"/>
        <v>0</v>
      </c>
      <c r="V21" s="1">
        <f t="shared" si="8"/>
        <v>0</v>
      </c>
      <c r="W21" s="1">
        <f t="shared" si="9"/>
        <v>0</v>
      </c>
      <c r="X21" s="8">
        <v>1</v>
      </c>
      <c r="Y21" s="1"/>
      <c r="Z21" s="1"/>
      <c r="AA21" s="1"/>
      <c r="AB21" s="1"/>
    </row>
    <row r="22" spans="1:28" ht="18" customHeight="1">
      <c r="A22" s="1"/>
      <c r="B22" s="19">
        <f t="shared" si="10"/>
        <v>43508</v>
      </c>
      <c r="C22" s="10" t="str">
        <f t="shared" si="2"/>
        <v>火</v>
      </c>
      <c r="D22" s="16" t="str">
        <f>IF(ISERROR(VLOOKUP(B22,祝日!$A:$B,2,FALSE)),"",VLOOKUP(B22,祝日!$A:$B,2,FALSE))</f>
        <v/>
      </c>
      <c r="E22" s="8">
        <v>0.375</v>
      </c>
      <c r="F22" s="8">
        <v>0.75</v>
      </c>
      <c r="G22" s="8">
        <v>4.1666666666666664E-2</v>
      </c>
      <c r="H22" s="9">
        <f t="shared" si="0"/>
        <v>0.33333333333333331</v>
      </c>
      <c r="I22" s="16">
        <f t="shared" si="3"/>
        <v>8</v>
      </c>
      <c r="J22" s="13"/>
      <c r="K22" s="14"/>
      <c r="L22" s="14"/>
      <c r="M22" s="15"/>
      <c r="N22" s="61"/>
      <c r="O22" s="62"/>
      <c r="P22" s="1"/>
      <c r="Q22">
        <f t="shared" si="1"/>
        <v>1</v>
      </c>
      <c r="R22">
        <f t="shared" si="4"/>
        <v>1</v>
      </c>
      <c r="S22">
        <f t="shared" si="5"/>
        <v>0</v>
      </c>
      <c r="T22" s="1">
        <f t="shared" si="6"/>
        <v>0</v>
      </c>
      <c r="U22">
        <f t="shared" si="7"/>
        <v>0</v>
      </c>
      <c r="V22" s="1">
        <f t="shared" si="8"/>
        <v>0</v>
      </c>
      <c r="W22" s="1">
        <f t="shared" si="9"/>
        <v>0</v>
      </c>
      <c r="X22" s="8">
        <v>1</v>
      </c>
      <c r="Y22" s="1"/>
      <c r="Z22" s="1"/>
      <c r="AA22" s="1"/>
      <c r="AB22" s="1"/>
    </row>
    <row r="23" spans="1:28" ht="18" customHeight="1">
      <c r="A23" s="1"/>
      <c r="B23" s="19">
        <f t="shared" si="10"/>
        <v>43509</v>
      </c>
      <c r="C23" s="10" t="str">
        <f t="shared" si="2"/>
        <v>水</v>
      </c>
      <c r="D23" s="16" t="str">
        <f>IF(ISERROR(VLOOKUP(B23,祝日!$A:$B,2,FALSE)),"",VLOOKUP(B23,祝日!$A:$B,2,FALSE))</f>
        <v/>
      </c>
      <c r="E23" s="8"/>
      <c r="F23" s="8"/>
      <c r="G23" s="8"/>
      <c r="H23" s="9" t="str">
        <f t="shared" si="0"/>
        <v/>
      </c>
      <c r="I23" s="16" t="str">
        <f t="shared" si="3"/>
        <v/>
      </c>
      <c r="J23" s="13"/>
      <c r="K23" s="14" t="s">
        <v>53</v>
      </c>
      <c r="L23" s="14"/>
      <c r="M23" s="15"/>
      <c r="N23" s="61"/>
      <c r="O23" s="62"/>
      <c r="P23" s="1"/>
      <c r="Q23">
        <f t="shared" si="1"/>
        <v>0</v>
      </c>
      <c r="R23">
        <f t="shared" si="4"/>
        <v>1</v>
      </c>
      <c r="S23">
        <f t="shared" si="5"/>
        <v>1</v>
      </c>
      <c r="T23" s="1">
        <f t="shared" si="6"/>
        <v>0</v>
      </c>
      <c r="U23">
        <f t="shared" si="7"/>
        <v>0</v>
      </c>
      <c r="V23" s="1">
        <f t="shared" si="8"/>
        <v>0</v>
      </c>
      <c r="W23" s="1">
        <f t="shared" si="9"/>
        <v>0</v>
      </c>
      <c r="X23" s="8">
        <v>1</v>
      </c>
      <c r="Y23" s="1"/>
      <c r="Z23" s="1"/>
      <c r="AA23" s="1"/>
      <c r="AB23" s="1"/>
    </row>
    <row r="24" spans="1:28" ht="18" customHeight="1">
      <c r="A24" s="1"/>
      <c r="B24" s="19">
        <f t="shared" si="10"/>
        <v>43510</v>
      </c>
      <c r="C24" s="10" t="str">
        <f t="shared" si="2"/>
        <v>木</v>
      </c>
      <c r="D24" s="16" t="str">
        <f>IF(ISERROR(VLOOKUP(B24,祝日!$A:$B,2,FALSE)),"",VLOOKUP(B24,祝日!$A:$B,2,FALSE))</f>
        <v/>
      </c>
      <c r="E24" s="8">
        <v>0.375</v>
      </c>
      <c r="F24" s="8">
        <v>0.75</v>
      </c>
      <c r="G24" s="8">
        <v>4.1666666666666664E-2</v>
      </c>
      <c r="H24" s="9">
        <f t="shared" si="0"/>
        <v>0.33333333333333331</v>
      </c>
      <c r="I24" s="16">
        <f t="shared" si="3"/>
        <v>8</v>
      </c>
      <c r="J24" s="13"/>
      <c r="K24" s="14"/>
      <c r="L24" s="14"/>
      <c r="M24" s="15"/>
      <c r="N24" s="61"/>
      <c r="O24" s="62"/>
      <c r="P24" s="1"/>
      <c r="Q24">
        <f t="shared" si="1"/>
        <v>1</v>
      </c>
      <c r="R24">
        <f t="shared" si="4"/>
        <v>1</v>
      </c>
      <c r="S24">
        <f t="shared" si="5"/>
        <v>0</v>
      </c>
      <c r="T24" s="1">
        <f t="shared" si="6"/>
        <v>0</v>
      </c>
      <c r="U24">
        <f t="shared" si="7"/>
        <v>0</v>
      </c>
      <c r="V24" s="1">
        <f t="shared" si="8"/>
        <v>0</v>
      </c>
      <c r="W24" s="1">
        <f t="shared" si="9"/>
        <v>0</v>
      </c>
      <c r="X24" s="8">
        <v>1</v>
      </c>
      <c r="Y24" s="1"/>
      <c r="Z24" s="1"/>
      <c r="AA24" s="1"/>
      <c r="AB24" s="1"/>
    </row>
    <row r="25" spans="1:28" ht="18" customHeight="1">
      <c r="A25" s="1"/>
      <c r="B25" s="19">
        <f t="shared" si="10"/>
        <v>43511</v>
      </c>
      <c r="C25" s="10" t="str">
        <f t="shared" si="2"/>
        <v>金</v>
      </c>
      <c r="D25" s="16" t="str">
        <f>IF(ISERROR(VLOOKUP(B25,祝日!$A:$B,2,FALSE)),"",VLOOKUP(B25,祝日!$A:$B,2,FALSE))</f>
        <v/>
      </c>
      <c r="E25" s="8">
        <v>0.375</v>
      </c>
      <c r="F25" s="8">
        <v>0.875</v>
      </c>
      <c r="G25" s="8">
        <v>4.1666666666666664E-2</v>
      </c>
      <c r="H25" s="9">
        <f t="shared" si="0"/>
        <v>0.45833333333333331</v>
      </c>
      <c r="I25" s="16">
        <f t="shared" si="3"/>
        <v>11</v>
      </c>
      <c r="J25" s="13"/>
      <c r="K25" s="14"/>
      <c r="L25" s="14"/>
      <c r="M25" s="15"/>
      <c r="N25" s="61"/>
      <c r="O25" s="62"/>
      <c r="P25" s="1"/>
      <c r="Q25">
        <f t="shared" si="1"/>
        <v>1</v>
      </c>
      <c r="R25">
        <f t="shared" si="4"/>
        <v>1</v>
      </c>
      <c r="S25">
        <f t="shared" si="5"/>
        <v>0</v>
      </c>
      <c r="T25" s="1">
        <f t="shared" si="6"/>
        <v>0</v>
      </c>
      <c r="U25">
        <f t="shared" si="7"/>
        <v>0</v>
      </c>
      <c r="V25" s="1">
        <f t="shared" si="8"/>
        <v>0</v>
      </c>
      <c r="W25" s="1">
        <f t="shared" si="9"/>
        <v>0</v>
      </c>
      <c r="X25" s="8">
        <v>1</v>
      </c>
      <c r="Y25" s="1"/>
      <c r="Z25" s="1"/>
      <c r="AA25" s="1"/>
      <c r="AB25" s="1"/>
    </row>
    <row r="26" spans="1:28" ht="18" customHeight="1">
      <c r="A26" s="1"/>
      <c r="B26" s="19">
        <f t="shared" si="10"/>
        <v>43512</v>
      </c>
      <c r="C26" s="10" t="str">
        <f t="shared" si="2"/>
        <v>土</v>
      </c>
      <c r="D26" s="16" t="str">
        <f>IF(ISERROR(VLOOKUP(B26,祝日!$A:$B,2,FALSE)),"",VLOOKUP(B26,祝日!$A:$B,2,FALSE))</f>
        <v/>
      </c>
      <c r="E26" s="8"/>
      <c r="F26" s="8"/>
      <c r="G26" s="8"/>
      <c r="H26" s="9" t="str">
        <f t="shared" si="0"/>
        <v/>
      </c>
      <c r="I26" s="16" t="str">
        <f t="shared" si="3"/>
        <v/>
      </c>
      <c r="J26" s="13"/>
      <c r="K26" s="14"/>
      <c r="L26" s="14"/>
      <c r="M26" s="15"/>
      <c r="N26" s="61"/>
      <c r="O26" s="62"/>
      <c r="P26" s="1"/>
      <c r="Q26">
        <f t="shared" si="1"/>
        <v>0</v>
      </c>
      <c r="R26">
        <f t="shared" si="4"/>
        <v>0</v>
      </c>
      <c r="S26">
        <f t="shared" si="5"/>
        <v>0</v>
      </c>
      <c r="T26" s="1">
        <f t="shared" si="6"/>
        <v>0</v>
      </c>
      <c r="U26">
        <f t="shared" si="7"/>
        <v>0</v>
      </c>
      <c r="V26" s="1">
        <f t="shared" si="8"/>
        <v>0</v>
      </c>
      <c r="W26" s="1">
        <f t="shared" si="9"/>
        <v>0</v>
      </c>
      <c r="X26" s="8">
        <v>1</v>
      </c>
      <c r="Y26" s="1"/>
      <c r="Z26" s="1"/>
      <c r="AA26" s="1"/>
      <c r="AB26" s="1"/>
    </row>
    <row r="27" spans="1:28" ht="18" customHeight="1">
      <c r="A27" s="1"/>
      <c r="B27" s="19">
        <f t="shared" si="10"/>
        <v>43513</v>
      </c>
      <c r="C27" s="10" t="str">
        <f t="shared" si="2"/>
        <v>日</v>
      </c>
      <c r="D27" s="16" t="str">
        <f>IF(ISERROR(VLOOKUP(B27,祝日!$A:$B,2,FALSE)),"",VLOOKUP(B27,祝日!$A:$B,2,FALSE))</f>
        <v/>
      </c>
      <c r="E27" s="8">
        <v>0.375</v>
      </c>
      <c r="F27" s="8">
        <v>0.66666666666666663</v>
      </c>
      <c r="G27" s="8"/>
      <c r="H27" s="9">
        <f t="shared" si="0"/>
        <v>0.29166666666666663</v>
      </c>
      <c r="I27" s="16">
        <f t="shared" si="3"/>
        <v>6.9999999999999991</v>
      </c>
      <c r="J27" s="13"/>
      <c r="K27" s="14"/>
      <c r="L27" s="14"/>
      <c r="M27" s="15"/>
      <c r="N27" s="61"/>
      <c r="O27" s="62"/>
      <c r="P27" s="1"/>
      <c r="Q27">
        <f t="shared" si="1"/>
        <v>1</v>
      </c>
      <c r="R27">
        <f t="shared" si="4"/>
        <v>0</v>
      </c>
      <c r="S27">
        <f t="shared" si="5"/>
        <v>0</v>
      </c>
      <c r="T27" s="1">
        <f t="shared" si="6"/>
        <v>0</v>
      </c>
      <c r="U27">
        <f t="shared" si="7"/>
        <v>0</v>
      </c>
      <c r="V27" s="1">
        <f t="shared" si="8"/>
        <v>0</v>
      </c>
      <c r="W27" s="1">
        <f t="shared" si="9"/>
        <v>0</v>
      </c>
      <c r="X27" s="8">
        <v>1</v>
      </c>
      <c r="Y27" s="1"/>
      <c r="Z27" s="1"/>
      <c r="AA27" s="1"/>
      <c r="AB27" s="1"/>
    </row>
    <row r="28" spans="1:28" ht="18" customHeight="1">
      <c r="A28" s="1"/>
      <c r="B28" s="19">
        <f t="shared" si="10"/>
        <v>43514</v>
      </c>
      <c r="C28" s="10" t="str">
        <f t="shared" si="2"/>
        <v>月</v>
      </c>
      <c r="D28" s="16" t="str">
        <f>IF(ISERROR(VLOOKUP(B28,祝日!$A:$B,2,FALSE)),"",VLOOKUP(B28,祝日!$A:$B,2,FALSE))</f>
        <v/>
      </c>
      <c r="E28" s="8">
        <v>0.375</v>
      </c>
      <c r="F28" s="8">
        <v>0.75</v>
      </c>
      <c r="G28" s="8">
        <v>4.1666666666666664E-2</v>
      </c>
      <c r="H28" s="9">
        <f t="shared" si="0"/>
        <v>0.33333333333333331</v>
      </c>
      <c r="I28" s="16">
        <f t="shared" si="3"/>
        <v>8</v>
      </c>
      <c r="J28" s="13"/>
      <c r="K28" s="14"/>
      <c r="L28" s="14"/>
      <c r="M28" s="15"/>
      <c r="N28" s="61"/>
      <c r="O28" s="62"/>
      <c r="P28" s="1"/>
      <c r="Q28">
        <f t="shared" si="1"/>
        <v>1</v>
      </c>
      <c r="R28">
        <f t="shared" si="4"/>
        <v>1</v>
      </c>
      <c r="S28">
        <f t="shared" si="5"/>
        <v>0</v>
      </c>
      <c r="T28" s="1">
        <f t="shared" si="6"/>
        <v>0</v>
      </c>
      <c r="U28">
        <f t="shared" si="7"/>
        <v>0</v>
      </c>
      <c r="V28" s="1">
        <f t="shared" si="8"/>
        <v>0</v>
      </c>
      <c r="W28" s="1">
        <f t="shared" si="9"/>
        <v>0</v>
      </c>
      <c r="X28" s="8">
        <v>1</v>
      </c>
      <c r="Y28" s="1"/>
      <c r="Z28" s="1"/>
      <c r="AA28" s="1"/>
      <c r="AB28" s="1"/>
    </row>
    <row r="29" spans="1:28" ht="18" customHeight="1">
      <c r="A29" s="1"/>
      <c r="B29" s="19">
        <f t="shared" si="10"/>
        <v>43515</v>
      </c>
      <c r="C29" s="10" t="str">
        <f t="shared" si="2"/>
        <v>火</v>
      </c>
      <c r="D29" s="16" t="str">
        <f>IF(ISERROR(VLOOKUP(B29,祝日!$A:$B,2,FALSE)),"",VLOOKUP(B29,祝日!$A:$B,2,FALSE))</f>
        <v/>
      </c>
      <c r="E29" s="8">
        <v>0.375</v>
      </c>
      <c r="F29" s="8">
        <v>0.75</v>
      </c>
      <c r="G29" s="8">
        <v>4.1666666666666664E-2</v>
      </c>
      <c r="H29" s="9">
        <f t="shared" si="0"/>
        <v>0.33333333333333331</v>
      </c>
      <c r="I29" s="16">
        <f t="shared" si="3"/>
        <v>8</v>
      </c>
      <c r="J29" s="13"/>
      <c r="K29" s="14"/>
      <c r="L29" s="14"/>
      <c r="M29" s="15"/>
      <c r="N29" s="61"/>
      <c r="O29" s="62"/>
      <c r="P29" s="1"/>
      <c r="Q29">
        <f t="shared" si="1"/>
        <v>1</v>
      </c>
      <c r="R29">
        <f t="shared" si="4"/>
        <v>1</v>
      </c>
      <c r="S29">
        <f t="shared" si="5"/>
        <v>0</v>
      </c>
      <c r="T29" s="1">
        <f t="shared" si="6"/>
        <v>0</v>
      </c>
      <c r="U29">
        <f t="shared" si="7"/>
        <v>0</v>
      </c>
      <c r="V29" s="1">
        <f t="shared" si="8"/>
        <v>0</v>
      </c>
      <c r="W29" s="1">
        <f t="shared" si="9"/>
        <v>0</v>
      </c>
      <c r="X29" s="8">
        <v>1</v>
      </c>
      <c r="Y29" s="1"/>
      <c r="Z29" s="1"/>
      <c r="AA29" s="1"/>
      <c r="AB29" s="1"/>
    </row>
    <row r="30" spans="1:28" ht="18" customHeight="1">
      <c r="A30" s="1"/>
      <c r="B30" s="19">
        <f t="shared" si="10"/>
        <v>43516</v>
      </c>
      <c r="C30" s="10" t="str">
        <f t="shared" si="2"/>
        <v>水</v>
      </c>
      <c r="D30" s="16" t="str">
        <f>IF(ISERROR(VLOOKUP(B30,祝日!$A:$B,2,FALSE)),"",VLOOKUP(B30,祝日!$A:$B,2,FALSE))</f>
        <v/>
      </c>
      <c r="E30" s="8">
        <v>0.375</v>
      </c>
      <c r="F30" s="8">
        <v>0.77083333333333337</v>
      </c>
      <c r="G30" s="8">
        <v>4.1666666666666664E-2</v>
      </c>
      <c r="H30" s="9">
        <f t="shared" si="0"/>
        <v>0.35416666666666669</v>
      </c>
      <c r="I30" s="16">
        <f t="shared" si="3"/>
        <v>8.5</v>
      </c>
      <c r="J30" s="13"/>
      <c r="K30" s="14"/>
      <c r="L30" s="14"/>
      <c r="M30" s="15"/>
      <c r="N30" s="61"/>
      <c r="O30" s="62"/>
      <c r="P30" s="1"/>
      <c r="Q30">
        <f t="shared" si="1"/>
        <v>1</v>
      </c>
      <c r="R30">
        <f t="shared" si="4"/>
        <v>1</v>
      </c>
      <c r="S30">
        <f t="shared" si="5"/>
        <v>0</v>
      </c>
      <c r="T30" s="1">
        <f t="shared" si="6"/>
        <v>0</v>
      </c>
      <c r="U30">
        <f t="shared" si="7"/>
        <v>0</v>
      </c>
      <c r="V30" s="1">
        <f t="shared" si="8"/>
        <v>0</v>
      </c>
      <c r="W30" s="1">
        <f t="shared" si="9"/>
        <v>0</v>
      </c>
      <c r="X30" s="8">
        <v>1</v>
      </c>
      <c r="Y30" s="1"/>
      <c r="Z30" s="1"/>
      <c r="AA30" s="1"/>
      <c r="AB30" s="1"/>
    </row>
    <row r="31" spans="1:28" ht="18" customHeight="1">
      <c r="A31" s="1"/>
      <c r="B31" s="19">
        <f t="shared" si="10"/>
        <v>43517</v>
      </c>
      <c r="C31" s="10" t="str">
        <f t="shared" si="2"/>
        <v>木</v>
      </c>
      <c r="D31" s="16" t="str">
        <f>IF(ISERROR(VLOOKUP(B31,祝日!$A:$B,2,FALSE)),"",VLOOKUP(B31,祝日!$A:$B,2,FALSE))</f>
        <v/>
      </c>
      <c r="E31" s="8">
        <v>0.375</v>
      </c>
      <c r="F31" s="8">
        <v>0.75</v>
      </c>
      <c r="G31" s="8">
        <v>4.1666666666666664E-2</v>
      </c>
      <c r="H31" s="9">
        <f t="shared" si="0"/>
        <v>0.33333333333333331</v>
      </c>
      <c r="I31" s="16">
        <f t="shared" si="3"/>
        <v>8</v>
      </c>
      <c r="J31" s="13"/>
      <c r="K31" s="14"/>
      <c r="L31" s="14"/>
      <c r="M31" s="15"/>
      <c r="N31" s="61"/>
      <c r="O31" s="62"/>
      <c r="P31" s="1"/>
      <c r="Q31">
        <f t="shared" si="1"/>
        <v>1</v>
      </c>
      <c r="R31">
        <f t="shared" si="4"/>
        <v>1</v>
      </c>
      <c r="S31">
        <f t="shared" si="5"/>
        <v>0</v>
      </c>
      <c r="T31" s="1">
        <f t="shared" si="6"/>
        <v>0</v>
      </c>
      <c r="U31">
        <f t="shared" si="7"/>
        <v>0</v>
      </c>
      <c r="V31" s="1">
        <f t="shared" si="8"/>
        <v>0</v>
      </c>
      <c r="W31" s="1">
        <f t="shared" si="9"/>
        <v>0</v>
      </c>
      <c r="X31" s="8">
        <v>1</v>
      </c>
      <c r="Y31" s="1"/>
      <c r="Z31" s="1"/>
      <c r="AA31" s="1"/>
      <c r="AB31" s="1"/>
    </row>
    <row r="32" spans="1:28" ht="18" customHeight="1">
      <c r="A32" s="1"/>
      <c r="B32" s="19">
        <f t="shared" si="10"/>
        <v>43518</v>
      </c>
      <c r="C32" s="10" t="str">
        <f t="shared" si="2"/>
        <v>金</v>
      </c>
      <c r="D32" s="16" t="str">
        <f>IF(ISERROR(VLOOKUP(B32,祝日!$A:$B,2,FALSE)),"",VLOOKUP(B32,祝日!$A:$B,2,FALSE))</f>
        <v/>
      </c>
      <c r="E32" s="8">
        <v>0.375</v>
      </c>
      <c r="F32" s="8">
        <v>0.75</v>
      </c>
      <c r="G32" s="8">
        <v>4.1666666666666664E-2</v>
      </c>
      <c r="H32" s="9">
        <f t="shared" si="0"/>
        <v>0.33333333333333331</v>
      </c>
      <c r="I32" s="16">
        <f t="shared" si="3"/>
        <v>8</v>
      </c>
      <c r="J32" s="13"/>
      <c r="K32" s="14"/>
      <c r="L32" s="14"/>
      <c r="M32" s="15"/>
      <c r="N32" s="61"/>
      <c r="O32" s="62"/>
      <c r="P32" s="1"/>
      <c r="Q32">
        <f t="shared" si="1"/>
        <v>1</v>
      </c>
      <c r="R32">
        <f t="shared" si="4"/>
        <v>1</v>
      </c>
      <c r="S32">
        <f t="shared" si="5"/>
        <v>0</v>
      </c>
      <c r="T32" s="1">
        <f t="shared" si="6"/>
        <v>0</v>
      </c>
      <c r="U32">
        <f t="shared" si="7"/>
        <v>0</v>
      </c>
      <c r="V32" s="1">
        <f t="shared" si="8"/>
        <v>0</v>
      </c>
      <c r="W32" s="1">
        <f t="shared" si="9"/>
        <v>0</v>
      </c>
      <c r="X32" s="8">
        <v>1</v>
      </c>
      <c r="Y32" s="1"/>
      <c r="Z32" s="1"/>
      <c r="AA32" s="1"/>
      <c r="AB32" s="1"/>
    </row>
    <row r="33" spans="1:28" ht="18" customHeight="1">
      <c r="A33" s="1"/>
      <c r="B33" s="19">
        <f t="shared" si="10"/>
        <v>43519</v>
      </c>
      <c r="C33" s="10" t="str">
        <f t="shared" si="2"/>
        <v>土</v>
      </c>
      <c r="D33" s="16" t="str">
        <f>IF(ISERROR(VLOOKUP(B33,祝日!$A:$B,2,FALSE)),"",VLOOKUP(B33,祝日!$A:$B,2,FALSE))</f>
        <v/>
      </c>
      <c r="E33" s="8"/>
      <c r="F33" s="8"/>
      <c r="G33" s="8"/>
      <c r="H33" s="9" t="str">
        <f t="shared" si="0"/>
        <v/>
      </c>
      <c r="I33" s="16" t="str">
        <f t="shared" si="3"/>
        <v/>
      </c>
      <c r="J33" s="13"/>
      <c r="K33" s="14"/>
      <c r="L33" s="14"/>
      <c r="M33" s="15"/>
      <c r="N33" s="61"/>
      <c r="O33" s="62"/>
      <c r="P33" s="1"/>
      <c r="Q33">
        <f t="shared" si="1"/>
        <v>0</v>
      </c>
      <c r="R33">
        <f t="shared" si="4"/>
        <v>0</v>
      </c>
      <c r="S33">
        <f t="shared" si="5"/>
        <v>0</v>
      </c>
      <c r="T33" s="1">
        <f t="shared" si="6"/>
        <v>0</v>
      </c>
      <c r="U33">
        <f t="shared" si="7"/>
        <v>0</v>
      </c>
      <c r="V33" s="1">
        <f t="shared" si="8"/>
        <v>0</v>
      </c>
      <c r="W33" s="1">
        <f t="shared" si="9"/>
        <v>0</v>
      </c>
      <c r="X33" s="8">
        <v>1</v>
      </c>
      <c r="Y33" s="1"/>
      <c r="Z33" s="1"/>
      <c r="AA33" s="1"/>
      <c r="AB33" s="1"/>
    </row>
    <row r="34" spans="1:28" ht="18" customHeight="1">
      <c r="A34" s="1"/>
      <c r="B34" s="19">
        <f t="shared" si="10"/>
        <v>43520</v>
      </c>
      <c r="C34" s="10" t="str">
        <f t="shared" si="2"/>
        <v>日</v>
      </c>
      <c r="D34" s="16" t="str">
        <f>IF(ISERROR(VLOOKUP(B34,祝日!$A:$B,2,FALSE)),"",VLOOKUP(B34,祝日!$A:$B,2,FALSE))</f>
        <v/>
      </c>
      <c r="E34" s="8"/>
      <c r="F34" s="8"/>
      <c r="G34" s="8"/>
      <c r="H34" s="9" t="str">
        <f t="shared" si="0"/>
        <v/>
      </c>
      <c r="I34" s="16" t="str">
        <f t="shared" si="3"/>
        <v/>
      </c>
      <c r="J34" s="13"/>
      <c r="K34" s="14"/>
      <c r="L34" s="14"/>
      <c r="M34" s="15"/>
      <c r="N34" s="61"/>
      <c r="O34" s="62"/>
      <c r="P34" s="1"/>
      <c r="Q34">
        <f t="shared" si="1"/>
        <v>0</v>
      </c>
      <c r="R34">
        <f t="shared" si="4"/>
        <v>0</v>
      </c>
      <c r="S34">
        <f t="shared" si="5"/>
        <v>0</v>
      </c>
      <c r="T34" s="1">
        <f t="shared" si="6"/>
        <v>0</v>
      </c>
      <c r="U34">
        <f t="shared" si="7"/>
        <v>0</v>
      </c>
      <c r="V34" s="1">
        <f t="shared" si="8"/>
        <v>0</v>
      </c>
      <c r="W34" s="1">
        <f t="shared" si="9"/>
        <v>0</v>
      </c>
      <c r="X34" s="8">
        <v>1</v>
      </c>
      <c r="Y34" s="1"/>
      <c r="Z34" s="1"/>
      <c r="AA34" s="1"/>
      <c r="AB34" s="1"/>
    </row>
    <row r="35" spans="1:28" ht="18" customHeight="1">
      <c r="A35" s="1"/>
      <c r="B35" s="19">
        <f t="shared" si="10"/>
        <v>43521</v>
      </c>
      <c r="C35" s="10" t="str">
        <f t="shared" si="2"/>
        <v>月</v>
      </c>
      <c r="D35" s="16" t="str">
        <f>IF(ISERROR(VLOOKUP(B35,祝日!$A:$B,2,FALSE)),"",VLOOKUP(B35,祝日!$A:$B,2,FALSE))</f>
        <v/>
      </c>
      <c r="E35" s="8">
        <v>0.375</v>
      </c>
      <c r="F35" s="8">
        <v>0.75</v>
      </c>
      <c r="G35" s="8">
        <v>4.1666666666666664E-2</v>
      </c>
      <c r="H35" s="9">
        <f t="shared" si="0"/>
        <v>0.33333333333333331</v>
      </c>
      <c r="I35" s="16">
        <f t="shared" si="3"/>
        <v>8</v>
      </c>
      <c r="J35" s="13"/>
      <c r="K35" s="14"/>
      <c r="L35" s="14"/>
      <c r="M35" s="15"/>
      <c r="N35" s="61"/>
      <c r="O35" s="62"/>
      <c r="P35" s="1"/>
      <c r="Q35">
        <f t="shared" si="1"/>
        <v>1</v>
      </c>
      <c r="R35">
        <f t="shared" si="4"/>
        <v>1</v>
      </c>
      <c r="S35">
        <f t="shared" si="5"/>
        <v>0</v>
      </c>
      <c r="T35" s="1">
        <f t="shared" si="6"/>
        <v>0</v>
      </c>
      <c r="U35">
        <f t="shared" si="7"/>
        <v>0</v>
      </c>
      <c r="V35" s="1">
        <f t="shared" si="8"/>
        <v>0</v>
      </c>
      <c r="W35" s="1">
        <f t="shared" si="9"/>
        <v>0</v>
      </c>
      <c r="X35" s="8">
        <v>1</v>
      </c>
      <c r="Y35" s="1"/>
      <c r="Z35" s="1"/>
      <c r="AA35" s="1"/>
      <c r="AB35" s="1"/>
    </row>
    <row r="36" spans="1:28" ht="18" customHeight="1">
      <c r="A36" s="1"/>
      <c r="B36" s="19">
        <f t="shared" si="10"/>
        <v>43522</v>
      </c>
      <c r="C36" s="10" t="str">
        <f t="shared" si="2"/>
        <v>火</v>
      </c>
      <c r="D36" s="16" t="str">
        <f>IF(ISERROR(VLOOKUP(B36,祝日!$A:$B,2,FALSE)),"",VLOOKUP(B36,祝日!$A:$B,2,FALSE))</f>
        <v/>
      </c>
      <c r="E36" s="8">
        <v>0.375</v>
      </c>
      <c r="F36" s="8">
        <v>0.75</v>
      </c>
      <c r="G36" s="8">
        <v>4.1666666666666664E-2</v>
      </c>
      <c r="H36" s="9">
        <f t="shared" si="0"/>
        <v>0.33333333333333331</v>
      </c>
      <c r="I36" s="16">
        <f t="shared" si="3"/>
        <v>8</v>
      </c>
      <c r="J36" s="13"/>
      <c r="K36" s="14"/>
      <c r="L36" s="14"/>
      <c r="M36" s="15"/>
      <c r="N36" s="61"/>
      <c r="O36" s="62"/>
      <c r="P36" s="1"/>
      <c r="Q36">
        <f t="shared" si="1"/>
        <v>1</v>
      </c>
      <c r="R36">
        <f t="shared" si="4"/>
        <v>1</v>
      </c>
      <c r="S36">
        <f t="shared" si="5"/>
        <v>0</v>
      </c>
      <c r="T36" s="1">
        <f t="shared" si="6"/>
        <v>0</v>
      </c>
      <c r="U36">
        <f t="shared" si="7"/>
        <v>0</v>
      </c>
      <c r="V36" s="1">
        <f t="shared" si="8"/>
        <v>0</v>
      </c>
      <c r="W36" s="1">
        <f t="shared" si="9"/>
        <v>0</v>
      </c>
      <c r="X36" s="8">
        <v>1</v>
      </c>
      <c r="Y36" s="1"/>
      <c r="Z36" s="1"/>
      <c r="AA36" s="1"/>
      <c r="AB36" s="1"/>
    </row>
    <row r="37" spans="1:28" ht="18" customHeight="1">
      <c r="A37" s="1"/>
      <c r="B37" s="19">
        <f t="shared" si="10"/>
        <v>43523</v>
      </c>
      <c r="C37" s="10" t="str">
        <f t="shared" si="2"/>
        <v>水</v>
      </c>
      <c r="D37" s="16" t="str">
        <f>IF(ISERROR(VLOOKUP(B37,祝日!$A:$B,2,FALSE)),"",VLOOKUP(B37,祝日!$A:$B,2,FALSE))</f>
        <v/>
      </c>
      <c r="E37" s="8">
        <v>0.83333333333333337</v>
      </c>
      <c r="F37" s="8">
        <v>0.20833333333333334</v>
      </c>
      <c r="G37" s="8">
        <v>4.1666666666666664E-2</v>
      </c>
      <c r="H37" s="9">
        <f t="shared" si="0"/>
        <v>0.3333333333333332</v>
      </c>
      <c r="I37" s="16">
        <f t="shared" si="3"/>
        <v>7.9999999999999964</v>
      </c>
      <c r="J37" s="13"/>
      <c r="K37" s="14"/>
      <c r="L37" s="14"/>
      <c r="M37" s="15"/>
      <c r="N37" s="61"/>
      <c r="O37" s="62"/>
      <c r="P37" s="1"/>
      <c r="Q37">
        <f t="shared" si="1"/>
        <v>1</v>
      </c>
      <c r="R37">
        <f t="shared" si="4"/>
        <v>1</v>
      </c>
      <c r="S37">
        <f t="shared" si="5"/>
        <v>0</v>
      </c>
      <c r="T37" s="1">
        <f t="shared" si="6"/>
        <v>0</v>
      </c>
      <c r="U37">
        <f t="shared" si="7"/>
        <v>0</v>
      </c>
      <c r="V37" s="1">
        <f t="shared" si="8"/>
        <v>0</v>
      </c>
      <c r="W37" s="1">
        <f t="shared" si="9"/>
        <v>0</v>
      </c>
      <c r="X37" s="8">
        <v>1</v>
      </c>
      <c r="Y37" s="1"/>
      <c r="Z37" s="1"/>
      <c r="AA37" s="1"/>
      <c r="AB37" s="1"/>
    </row>
    <row r="38" spans="1:28" ht="18" customHeight="1">
      <c r="A38" s="1"/>
      <c r="B38" s="19">
        <f t="shared" si="10"/>
        <v>43524</v>
      </c>
      <c r="C38" s="10" t="str">
        <f t="shared" si="2"/>
        <v>木</v>
      </c>
      <c r="D38" s="16" t="str">
        <f>IF(ISERROR(VLOOKUP(B38,祝日!$A:$B,2,FALSE)),"",VLOOKUP(B38,祝日!$A:$B,2,FALSE))</f>
        <v/>
      </c>
      <c r="E38" s="8">
        <v>0.375</v>
      </c>
      <c r="F38" s="8">
        <v>0.75</v>
      </c>
      <c r="G38" s="8">
        <v>4.1666666666666664E-2</v>
      </c>
      <c r="H38" s="9">
        <f t="shared" si="0"/>
        <v>0.33333333333333331</v>
      </c>
      <c r="I38" s="16">
        <f t="shared" si="3"/>
        <v>8</v>
      </c>
      <c r="J38" s="13"/>
      <c r="K38" s="14"/>
      <c r="L38" s="14"/>
      <c r="M38" s="15"/>
      <c r="N38" s="61"/>
      <c r="O38" s="62"/>
      <c r="P38" s="1"/>
      <c r="Q38">
        <f t="shared" si="1"/>
        <v>1</v>
      </c>
      <c r="R38">
        <f t="shared" si="4"/>
        <v>1</v>
      </c>
      <c r="S38">
        <f t="shared" si="5"/>
        <v>0</v>
      </c>
      <c r="T38" s="1">
        <f t="shared" si="6"/>
        <v>0</v>
      </c>
      <c r="U38">
        <f t="shared" si="7"/>
        <v>0</v>
      </c>
      <c r="V38" s="1">
        <f t="shared" si="8"/>
        <v>0</v>
      </c>
      <c r="W38" s="1">
        <f t="shared" si="9"/>
        <v>0</v>
      </c>
      <c r="X38" s="8">
        <v>1</v>
      </c>
      <c r="Y38" s="1"/>
      <c r="Z38" s="1"/>
      <c r="AA38" s="1"/>
      <c r="AB38" s="1"/>
    </row>
    <row r="39" spans="1:28" ht="18" customHeight="1">
      <c r="A39" s="1"/>
      <c r="B39" s="19" t="str">
        <f t="shared" si="10"/>
        <v/>
      </c>
      <c r="C39" s="10" t="str">
        <f t="shared" si="2"/>
        <v/>
      </c>
      <c r="D39" s="16" t="str">
        <f>IF(ISERROR(VLOOKUP(B39,祝日!$A:$B,2,FALSE)),"",VLOOKUP(B39,祝日!$A:$B,2,FALSE))</f>
        <v/>
      </c>
      <c r="E39" s="8"/>
      <c r="F39" s="8"/>
      <c r="G39" s="8"/>
      <c r="H39" s="9"/>
      <c r="I39" s="16">
        <f t="shared" si="3"/>
        <v>0</v>
      </c>
      <c r="J39" s="13"/>
      <c r="K39" s="14"/>
      <c r="L39" s="14"/>
      <c r="M39" s="15"/>
      <c r="N39" s="61"/>
      <c r="O39" s="62"/>
      <c r="P39" s="1"/>
      <c r="Q39">
        <f t="shared" si="1"/>
        <v>0</v>
      </c>
      <c r="R39">
        <f t="shared" si="4"/>
        <v>0</v>
      </c>
      <c r="S39">
        <f t="shared" si="5"/>
        <v>0</v>
      </c>
      <c r="T39" s="1">
        <f t="shared" si="6"/>
        <v>0</v>
      </c>
      <c r="U39">
        <f t="shared" si="7"/>
        <v>0</v>
      </c>
      <c r="V39" s="1">
        <f t="shared" si="8"/>
        <v>0</v>
      </c>
      <c r="W39" s="1">
        <f t="shared" si="9"/>
        <v>0</v>
      </c>
      <c r="X39" s="8">
        <v>1</v>
      </c>
      <c r="Y39" s="1"/>
      <c r="Z39" s="1"/>
      <c r="AA39" s="1"/>
      <c r="AB39" s="1"/>
    </row>
    <row r="40" spans="1:28" ht="18" customHeight="1">
      <c r="A40" s="1"/>
      <c r="B40" s="19" t="str">
        <f t="shared" si="10"/>
        <v/>
      </c>
      <c r="C40" s="10" t="str">
        <f t="shared" si="2"/>
        <v/>
      </c>
      <c r="D40" s="16" t="str">
        <f>IF(ISERROR(VLOOKUP(B40,祝日!$A:$B,2,FALSE)),"",VLOOKUP(B40,祝日!$A:$B,2,FALSE))</f>
        <v/>
      </c>
      <c r="E40" s="8"/>
      <c r="F40" s="8"/>
      <c r="G40" s="8"/>
      <c r="H40" s="9"/>
      <c r="I40" s="16">
        <f t="shared" si="3"/>
        <v>0</v>
      </c>
      <c r="J40" s="13"/>
      <c r="K40" s="14"/>
      <c r="L40" s="14"/>
      <c r="M40" s="15"/>
      <c r="N40" s="61"/>
      <c r="O40" s="62"/>
      <c r="P40" s="1"/>
      <c r="Q40">
        <f t="shared" si="1"/>
        <v>0</v>
      </c>
      <c r="R40">
        <f t="shared" si="4"/>
        <v>0</v>
      </c>
      <c r="S40">
        <f t="shared" si="5"/>
        <v>0</v>
      </c>
      <c r="T40" s="1">
        <f t="shared" si="6"/>
        <v>0</v>
      </c>
      <c r="U40">
        <f t="shared" si="7"/>
        <v>0</v>
      </c>
      <c r="V40" s="1">
        <f t="shared" si="8"/>
        <v>0</v>
      </c>
      <c r="W40" s="1">
        <f t="shared" si="9"/>
        <v>0</v>
      </c>
      <c r="X40" s="8">
        <v>1</v>
      </c>
      <c r="Y40" s="1"/>
      <c r="Z40" s="1"/>
      <c r="AA40" s="1"/>
      <c r="AB40" s="1"/>
    </row>
    <row r="41" spans="1:28" ht="18" customHeight="1">
      <c r="A41" s="1"/>
      <c r="B41" s="19" t="str">
        <f t="shared" si="10"/>
        <v/>
      </c>
      <c r="C41" s="10" t="str">
        <f t="shared" si="2"/>
        <v/>
      </c>
      <c r="D41" s="16" t="str">
        <f>IF(ISERROR(VLOOKUP(B41,祝日!$A:$B,2,FALSE)),"",VLOOKUP(B41,祝日!$A:$B,2,FALSE))</f>
        <v/>
      </c>
      <c r="E41" s="8"/>
      <c r="F41" s="8"/>
      <c r="G41" s="8"/>
      <c r="H41" s="9" t="str">
        <f t="shared" si="0"/>
        <v/>
      </c>
      <c r="I41" s="16" t="str">
        <f t="shared" si="3"/>
        <v/>
      </c>
      <c r="J41" s="13"/>
      <c r="K41" s="14"/>
      <c r="L41" s="14"/>
      <c r="M41" s="15"/>
      <c r="N41" s="61"/>
      <c r="O41" s="63"/>
      <c r="P41" s="1"/>
      <c r="Q41">
        <f t="shared" si="1"/>
        <v>0</v>
      </c>
      <c r="R41">
        <f t="shared" si="4"/>
        <v>0</v>
      </c>
      <c r="S41">
        <f t="shared" si="5"/>
        <v>0</v>
      </c>
      <c r="T41" s="1">
        <f t="shared" si="6"/>
        <v>0</v>
      </c>
      <c r="U41">
        <f t="shared" si="7"/>
        <v>0</v>
      </c>
      <c r="V41" s="1">
        <f t="shared" si="8"/>
        <v>0</v>
      </c>
      <c r="W41" s="1">
        <f t="shared" si="9"/>
        <v>0</v>
      </c>
      <c r="X41" s="8">
        <v>1</v>
      </c>
      <c r="Y41" s="1"/>
      <c r="Z41" s="1"/>
      <c r="AA41" s="1"/>
      <c r="AB41" s="1"/>
    </row>
    <row r="42" spans="1:28" ht="24" customHeight="1">
      <c r="A42" s="1"/>
      <c r="B42" s="136" t="s">
        <v>15</v>
      </c>
      <c r="C42" s="137"/>
      <c r="D42" s="17"/>
      <c r="E42" s="17" t="s">
        <v>57</v>
      </c>
      <c r="F42" s="17" t="s">
        <v>17</v>
      </c>
      <c r="G42" s="17" t="s">
        <v>59</v>
      </c>
      <c r="H42" s="17"/>
      <c r="I42" s="17" t="s">
        <v>19</v>
      </c>
      <c r="J42" s="17" t="s">
        <v>20</v>
      </c>
      <c r="K42" s="17" t="s">
        <v>56</v>
      </c>
      <c r="L42" s="17" t="s">
        <v>16</v>
      </c>
      <c r="M42" s="17" t="s">
        <v>28</v>
      </c>
      <c r="N42" s="66" t="s">
        <v>71</v>
      </c>
      <c r="O42" s="64"/>
      <c r="P42" s="1"/>
      <c r="Q42" s="1"/>
      <c r="R42" s="1">
        <f>SUM(S11:S41)</f>
        <v>1</v>
      </c>
      <c r="S42" s="1">
        <f>SUM(T11:T41) /2</f>
        <v>0.5</v>
      </c>
      <c r="T42" s="1">
        <f>SUM(U11:U41)</f>
        <v>1</v>
      </c>
      <c r="U42" s="1">
        <f>SUM(V11:V41) /2</f>
        <v>0</v>
      </c>
      <c r="V42" s="1">
        <f>SUM(W11:W41)</f>
        <v>0</v>
      </c>
      <c r="W42" s="1"/>
      <c r="X42" s="1"/>
      <c r="Y42" s="1"/>
      <c r="Z42" s="1"/>
      <c r="AA42" s="1"/>
    </row>
    <row r="43" spans="1:28" s="24" customFormat="1" ht="18" customHeight="1" thickBot="1">
      <c r="A43" s="2"/>
      <c r="B43" s="138">
        <f>COUNTIF(Q11:Q41,"1")</f>
        <v>18</v>
      </c>
      <c r="C43" s="139"/>
      <c r="D43" s="20"/>
      <c r="E43" s="20">
        <f>COUNTIF(J11:J41,"振替休暇")</f>
        <v>0</v>
      </c>
      <c r="F43" s="20">
        <f>COUNTIF(J11:J41,"代休")</f>
        <v>0</v>
      </c>
      <c r="G43" s="20">
        <f>COUNTIF(J11:J41,"シフト制")</f>
        <v>0</v>
      </c>
      <c r="H43" s="21"/>
      <c r="I43" s="21">
        <f>SUM(I11:I41)</f>
        <v>162.5</v>
      </c>
      <c r="J43" s="20">
        <f>IF(H43-(SUM(R11:R41) * 8 + 30) &gt;0,H43-(SUM(R11:R41) * 8 + 30),0)</f>
        <v>0</v>
      </c>
      <c r="K43" s="20">
        <f>SUM(R42:S42)</f>
        <v>1.5</v>
      </c>
      <c r="L43" s="20">
        <f>SUM(T42:U42)</f>
        <v>1</v>
      </c>
      <c r="M43" s="20">
        <f>SUM(M11:M41)</f>
        <v>9</v>
      </c>
      <c r="N43" s="23">
        <f>SUM(N11:N41)</f>
        <v>0</v>
      </c>
      <c r="O43" s="65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8" ht="14.25" customHeight="1" thickBot="1">
      <c r="A44" s="1"/>
      <c r="B44" s="2"/>
      <c r="C44" s="2"/>
      <c r="D44" s="2"/>
      <c r="E44" s="2"/>
      <c r="F44" s="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7"/>
      <c r="Z44" s="1"/>
      <c r="AA44" s="1"/>
    </row>
    <row r="45" spans="1:28" ht="14.25" customHeight="1" thickTop="1">
      <c r="A45" s="1"/>
      <c r="B45" s="2"/>
      <c r="C45" s="2"/>
      <c r="D45" s="2"/>
      <c r="E45" s="2"/>
      <c r="F45" s="2"/>
      <c r="G45" s="1"/>
      <c r="H45" s="1"/>
      <c r="I45" s="1"/>
      <c r="K45" s="140" t="s">
        <v>9</v>
      </c>
      <c r="L45" s="141"/>
      <c r="M45" s="142"/>
      <c r="N45" s="14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8" ht="14.25" customHeight="1">
      <c r="A46" s="1"/>
      <c r="B46" s="2"/>
      <c r="C46" s="2"/>
      <c r="D46" s="2"/>
      <c r="E46" s="2"/>
      <c r="F46" s="2"/>
      <c r="G46" s="1"/>
      <c r="H46" s="1"/>
      <c r="I46" s="1"/>
      <c r="K46" s="143" t="s">
        <v>10</v>
      </c>
      <c r="L46" s="144"/>
      <c r="M46" s="145"/>
      <c r="N46" s="144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8" ht="14.25" customHeight="1">
      <c r="A47" s="1"/>
      <c r="B47" s="2"/>
      <c r="C47" s="2"/>
      <c r="D47" s="2"/>
      <c r="E47" s="2"/>
      <c r="F47" s="2"/>
      <c r="G47" s="1"/>
      <c r="H47" s="1"/>
      <c r="I47" s="1"/>
      <c r="K47" s="130"/>
      <c r="L47" s="131"/>
      <c r="M47" s="134"/>
      <c r="N47" s="13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8" ht="14.25" customHeight="1" thickBot="1">
      <c r="A48" s="1"/>
      <c r="B48" s="2"/>
      <c r="C48" s="2"/>
      <c r="D48" s="2"/>
      <c r="E48" s="2"/>
      <c r="F48" s="2"/>
      <c r="G48" s="1"/>
      <c r="H48" s="1"/>
      <c r="I48" s="1"/>
      <c r="K48" s="132"/>
      <c r="L48" s="133"/>
      <c r="M48" s="135"/>
      <c r="N48" s="133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4.25" customHeight="1" thickTop="1">
      <c r="A49" s="1"/>
      <c r="B49" s="2"/>
      <c r="C49" s="2"/>
      <c r="D49" s="2"/>
      <c r="E49" s="2"/>
      <c r="F49" s="2"/>
      <c r="G49" s="1"/>
      <c r="H49" s="1"/>
      <c r="I49" s="1"/>
      <c r="J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23.25" customHeight="1">
      <c r="A50" s="1"/>
      <c r="G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5.75" customHeight="1">
      <c r="A51" s="1"/>
      <c r="B51" s="2"/>
      <c r="F51" s="1"/>
      <c r="G51" s="1"/>
      <c r="H51" s="1"/>
      <c r="I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21" customHeight="1">
      <c r="A52" s="1"/>
      <c r="B52" s="2"/>
      <c r="C52" s="2"/>
      <c r="D52" s="2"/>
      <c r="E52" s="1"/>
      <c r="F52" s="1"/>
      <c r="G52" s="1"/>
      <c r="H52" s="1"/>
      <c r="I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4.25" customHeight="1">
      <c r="A53" s="1"/>
      <c r="B53" s="2"/>
      <c r="C53" s="2"/>
      <c r="D53" s="2"/>
      <c r="E53" s="1"/>
      <c r="F53" s="1"/>
      <c r="G53" s="1"/>
      <c r="H53" s="1"/>
      <c r="I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4.25" customHeight="1">
      <c r="A54" s="1"/>
      <c r="B54" s="2"/>
      <c r="C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3.5" customHeight="1">
      <c r="A55" s="1"/>
      <c r="B55" s="1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3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3.5" customHeight="1">
      <c r="A57" s="1"/>
      <c r="B57" s="1"/>
      <c r="C57" s="1"/>
      <c r="D57" s="1"/>
      <c r="E57" s="3"/>
      <c r="F57" s="2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3.5" customHeight="1">
      <c r="A58" s="1"/>
      <c r="B58" s="1"/>
      <c r="C58" s="1"/>
      <c r="D58" s="1"/>
      <c r="E58" s="1"/>
      <c r="F58" s="1"/>
      <c r="G58" s="1"/>
      <c r="H58" s="1"/>
      <c r="I58" s="1"/>
      <c r="J58" s="4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3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3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3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3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3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3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3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3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3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3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3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3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3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3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3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3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3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3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3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3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3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3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3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3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3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3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3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3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3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3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3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3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3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3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3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3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3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3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3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3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3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3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3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3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3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3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3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3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3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3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3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3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3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3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3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3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3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3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3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3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3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3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3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3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3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3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3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3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3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3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3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3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3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3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3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3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3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3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3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3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3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3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3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3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3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3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3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3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3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3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3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3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3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3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3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3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3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3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3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3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3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3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3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3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3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3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3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3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3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3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3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3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3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3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3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3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3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3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3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3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3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3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3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3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3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3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3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3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3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3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3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3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3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3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3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3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3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3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3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3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3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3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3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3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3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3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3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3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3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3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3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3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3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3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3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3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3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3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3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3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3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3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3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3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3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3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3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3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3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3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3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3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3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3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3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3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3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3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3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3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3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3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3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3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3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3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3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3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3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3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3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3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3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3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3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3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3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3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3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3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3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3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3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3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3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3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3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3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3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3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3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3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3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3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3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3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3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3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3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3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3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3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3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3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3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3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3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3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3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3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3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3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3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3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3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3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3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3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3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3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3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3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3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3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3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3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3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3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3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3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3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3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3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3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3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3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3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3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3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3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3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3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3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3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3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3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3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3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3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3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3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3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3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3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3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3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3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3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3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3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3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3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3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3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3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3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3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3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3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3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3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3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3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3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3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3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3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3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3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3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3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3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3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3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3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3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3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3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3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3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3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3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3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3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3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3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3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3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3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3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3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3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3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3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3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3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3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3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3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3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3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3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3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3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3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3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3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3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3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3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3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3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3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3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3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3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3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3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3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3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3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3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3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3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3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3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3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3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3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3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3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3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3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3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3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3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3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3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3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3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3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3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3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3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3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3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3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3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3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3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3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3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3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3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3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3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3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3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3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3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3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3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3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3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3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3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3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3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3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3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3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3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3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3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3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3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3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3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3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3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3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3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3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3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3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3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3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3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3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3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3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3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3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3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3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3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3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3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3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3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3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3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3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3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3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3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3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3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3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3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3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3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3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3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3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3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3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3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3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3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3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3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3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3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3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3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3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3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3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3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3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3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3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3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3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3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3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3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3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3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3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3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3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3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3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3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3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3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3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3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3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3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3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3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3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3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3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3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3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3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3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3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3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3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3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3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3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3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3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3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3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3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3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3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3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3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3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3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3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3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3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3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3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3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3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3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3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3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3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3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3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3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3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3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3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3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3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3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3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3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3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3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3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3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3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3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3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3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3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3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3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3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3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3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3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3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3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3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3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3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3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3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3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3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3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3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3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3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3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3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3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3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3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3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3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3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3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3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3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3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3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3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3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3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3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3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3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3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3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3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3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3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3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3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3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3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3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3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3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3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3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3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3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3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3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3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3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3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3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3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3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3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3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3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3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3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3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3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3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3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3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3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3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3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3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3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3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3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3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3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3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3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3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3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3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3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3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3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3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3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3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3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3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3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3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3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3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3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3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3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3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3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3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3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3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3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3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3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3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3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3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3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3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3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3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3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3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3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3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3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3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3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3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3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3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3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3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3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3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3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3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3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3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3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3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3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3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3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3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3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3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3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3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3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3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3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3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3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3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3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3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3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3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3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3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3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3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3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3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3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3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3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3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3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3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3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3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3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3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3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3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3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3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3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3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3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3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3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3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3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3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3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3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3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3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3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3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3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3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3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3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3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3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3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3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3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3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3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3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3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3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3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3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3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3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3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3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3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3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3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3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3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3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3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3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3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3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3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3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3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3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3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3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3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3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3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3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3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3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3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3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3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3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3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3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3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3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3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3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3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3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3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3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3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3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3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3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3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3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3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3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3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3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3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3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3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3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3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3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3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3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3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3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3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3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3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3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3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3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3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3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3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3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3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3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3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3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3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3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3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3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3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3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3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3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3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3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3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3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3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3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3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3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3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3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3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3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3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3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3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3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3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3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3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3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3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3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3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3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3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3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3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3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3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3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3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3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3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3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3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3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3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3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3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3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3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3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3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3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3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3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3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3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3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3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3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3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3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3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3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3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3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3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3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3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3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3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3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3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3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3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3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3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3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3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3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3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3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3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3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3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3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3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3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3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3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3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3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3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3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3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3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3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3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3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3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3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3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3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3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3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3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3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3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ht="13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ht="13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ht="13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ht="13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ht="13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ht="13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ht="13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ht="13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ht="13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ht="13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ht="13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ht="13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ht="13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ht="13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ht="13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ht="13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ht="13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ht="13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ht="13.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ht="13.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ht="13.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ht="13.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</sheetData>
  <protectedRanges>
    <protectedRange sqref="D5:F7 L6 J11:M41 E11:G41" name="menber"/>
  </protectedRanges>
  <mergeCells count="34">
    <mergeCell ref="B3:F3"/>
    <mergeCell ref="G3:N3"/>
    <mergeCell ref="B5:C5"/>
    <mergeCell ref="D5:F5"/>
    <mergeCell ref="J5:K5"/>
    <mergeCell ref="L5:N5"/>
    <mergeCell ref="B6:C6"/>
    <mergeCell ref="D6:F6"/>
    <mergeCell ref="J6:K6"/>
    <mergeCell ref="L6:N6"/>
    <mergeCell ref="B7:C7"/>
    <mergeCell ref="D7:F7"/>
    <mergeCell ref="J7:K7"/>
    <mergeCell ref="L7:N7"/>
    <mergeCell ref="O9:O10"/>
    <mergeCell ref="B9:B10"/>
    <mergeCell ref="C9:C10"/>
    <mergeCell ref="D9:D10"/>
    <mergeCell ref="E9:E10"/>
    <mergeCell ref="F9:F10"/>
    <mergeCell ref="G9:G10"/>
    <mergeCell ref="J9:J10"/>
    <mergeCell ref="K9:K10"/>
    <mergeCell ref="L9:L10"/>
    <mergeCell ref="M9:M10"/>
    <mergeCell ref="N9:N10"/>
    <mergeCell ref="K47:L48"/>
    <mergeCell ref="M47:N48"/>
    <mergeCell ref="B42:C42"/>
    <mergeCell ref="B43:C43"/>
    <mergeCell ref="K45:L45"/>
    <mergeCell ref="M45:N45"/>
    <mergeCell ref="K46:L46"/>
    <mergeCell ref="M46:N46"/>
  </mergeCells>
  <phoneticPr fontId="5"/>
  <conditionalFormatting sqref="B11">
    <cfRule type="expression" dxfId="3" priority="4">
      <formula>"weekday($B11)=1"</formula>
    </cfRule>
  </conditionalFormatting>
  <conditionalFormatting sqref="D11:N41">
    <cfRule type="expression" dxfId="2" priority="1">
      <formula>LEN($D11)&gt;0</formula>
    </cfRule>
    <cfRule type="expression" dxfId="1" priority="2">
      <formula>$C11="日"</formula>
    </cfRule>
    <cfRule type="expression" dxfId="0" priority="3">
      <formula>$C11="土"</formula>
    </cfRule>
  </conditionalFormatting>
  <dataValidations count="2">
    <dataValidation type="list" allowBlank="1" showInputMessage="1" showErrorMessage="1" sqref="J11:J41">
      <formula1>$Y$10:$Y$12</formula1>
    </dataValidation>
    <dataValidation type="list" allowBlank="1" showInputMessage="1" showErrorMessage="1" sqref="K11:L41">
      <formula1>"0.5日,1日"</formula1>
    </dataValidation>
  </dataValidations>
  <pageMargins left="0.7" right="0.7" top="0.75" bottom="0.75" header="0.3" footer="0.3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>
                <anchor moveWithCells="1" sizeWithCells="1">
                  <from>
                    <xdr:col>6</xdr:col>
                    <xdr:colOff>152400</xdr:colOff>
                    <xdr:row>4</xdr:row>
                    <xdr:rowOff>76200</xdr:rowOff>
                  </from>
                  <to>
                    <xdr:col>8</xdr:col>
                    <xdr:colOff>628650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>
                <anchor moveWithCells="1" sizeWithCells="1">
                  <from>
                    <xdr:col>6</xdr:col>
                    <xdr:colOff>142875</xdr:colOff>
                    <xdr:row>5</xdr:row>
                    <xdr:rowOff>209550</xdr:rowOff>
                  </from>
                  <to>
                    <xdr:col>8</xdr:col>
                    <xdr:colOff>628650</xdr:colOff>
                    <xdr:row>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3"/>
  <sheetViews>
    <sheetView workbookViewId="0">
      <selection activeCell="E8" sqref="E8"/>
    </sheetView>
  </sheetViews>
  <sheetFormatPr defaultRowHeight="13.5"/>
  <cols>
    <col min="1" max="1" width="8.75" customWidth="1"/>
    <col min="2" max="2" width="10.375" customWidth="1"/>
    <col min="3" max="3" width="16.75" customWidth="1"/>
  </cols>
  <sheetData>
    <row r="1" spans="1:3">
      <c r="A1" s="12" t="s">
        <v>33</v>
      </c>
      <c r="B1" s="12"/>
      <c r="C1" s="25"/>
    </row>
    <row r="2" spans="1:3">
      <c r="A2" s="27">
        <v>43466</v>
      </c>
      <c r="B2" s="26" t="s">
        <v>58</v>
      </c>
      <c r="C2" s="26" t="s">
        <v>34</v>
      </c>
    </row>
    <row r="3" spans="1:3">
      <c r="A3" s="27">
        <v>43479</v>
      </c>
      <c r="B3" s="26" t="s">
        <v>58</v>
      </c>
      <c r="C3" s="26" t="s">
        <v>35</v>
      </c>
    </row>
    <row r="4" spans="1:3">
      <c r="A4" s="27">
        <v>43507</v>
      </c>
      <c r="B4" s="26" t="s">
        <v>58</v>
      </c>
      <c r="C4" s="26" t="s">
        <v>36</v>
      </c>
    </row>
    <row r="5" spans="1:3">
      <c r="A5" s="27">
        <v>43545</v>
      </c>
      <c r="B5" s="26" t="s">
        <v>58</v>
      </c>
      <c r="C5" s="26" t="s">
        <v>37</v>
      </c>
    </row>
    <row r="6" spans="1:3">
      <c r="A6" s="27">
        <v>43584</v>
      </c>
      <c r="B6" s="26" t="s">
        <v>58</v>
      </c>
      <c r="C6" s="26" t="s">
        <v>38</v>
      </c>
    </row>
    <row r="7" spans="1:3">
      <c r="A7" s="27">
        <v>43585</v>
      </c>
      <c r="B7" s="26" t="s">
        <v>58</v>
      </c>
      <c r="C7" s="26" t="s">
        <v>39</v>
      </c>
    </row>
    <row r="8" spans="1:3">
      <c r="A8" s="27">
        <v>43586</v>
      </c>
      <c r="B8" s="26" t="s">
        <v>58</v>
      </c>
      <c r="C8" s="26" t="s">
        <v>40</v>
      </c>
    </row>
    <row r="9" spans="1:3">
      <c r="A9" s="27">
        <v>43587</v>
      </c>
      <c r="B9" s="26" t="s">
        <v>58</v>
      </c>
      <c r="C9" s="26" t="s">
        <v>39</v>
      </c>
    </row>
    <row r="10" spans="1:3">
      <c r="A10" s="27">
        <v>43588</v>
      </c>
      <c r="B10" s="26" t="s">
        <v>58</v>
      </c>
      <c r="C10" s="26" t="s">
        <v>41</v>
      </c>
    </row>
    <row r="11" spans="1:3">
      <c r="A11" s="27">
        <v>43589</v>
      </c>
      <c r="B11" s="26" t="s">
        <v>58</v>
      </c>
      <c r="C11" s="26" t="s">
        <v>42</v>
      </c>
    </row>
    <row r="12" spans="1:3">
      <c r="A12" s="27">
        <v>43590</v>
      </c>
      <c r="B12" s="26" t="s">
        <v>58</v>
      </c>
      <c r="C12" s="26" t="s">
        <v>43</v>
      </c>
    </row>
    <row r="13" spans="1:3">
      <c r="A13" s="27">
        <v>43591</v>
      </c>
      <c r="B13" s="26" t="s">
        <v>58</v>
      </c>
      <c r="C13" s="26" t="s">
        <v>44</v>
      </c>
    </row>
    <row r="14" spans="1:3">
      <c r="A14" s="27">
        <v>43661</v>
      </c>
      <c r="B14" s="26" t="s">
        <v>58</v>
      </c>
      <c r="C14" s="26" t="s">
        <v>45</v>
      </c>
    </row>
    <row r="15" spans="1:3">
      <c r="A15" s="27">
        <v>43688</v>
      </c>
      <c r="B15" s="26" t="s">
        <v>58</v>
      </c>
      <c r="C15" s="26" t="s">
        <v>46</v>
      </c>
    </row>
    <row r="16" spans="1:3">
      <c r="A16" s="27">
        <v>43689</v>
      </c>
      <c r="B16" s="26" t="s">
        <v>58</v>
      </c>
      <c r="C16" s="26" t="s">
        <v>44</v>
      </c>
    </row>
    <row r="17" spans="1:3">
      <c r="A17" s="27">
        <v>43724</v>
      </c>
      <c r="B17" s="26" t="s">
        <v>58</v>
      </c>
      <c r="C17" s="26" t="s">
        <v>47</v>
      </c>
    </row>
    <row r="18" spans="1:3">
      <c r="A18" s="27">
        <v>43731</v>
      </c>
      <c r="B18" s="26" t="s">
        <v>58</v>
      </c>
      <c r="C18" s="26" t="s">
        <v>48</v>
      </c>
    </row>
    <row r="19" spans="1:3">
      <c r="A19" s="27">
        <v>43752</v>
      </c>
      <c r="B19" s="26" t="s">
        <v>58</v>
      </c>
      <c r="C19" s="26" t="s">
        <v>49</v>
      </c>
    </row>
    <row r="20" spans="1:3">
      <c r="A20" s="27">
        <v>43760</v>
      </c>
      <c r="B20" s="26" t="s">
        <v>58</v>
      </c>
      <c r="C20" s="26" t="s">
        <v>50</v>
      </c>
    </row>
    <row r="21" spans="1:3">
      <c r="A21" s="27">
        <v>43772</v>
      </c>
      <c r="B21" s="26" t="s">
        <v>58</v>
      </c>
      <c r="C21" s="26" t="s">
        <v>51</v>
      </c>
    </row>
    <row r="22" spans="1:3">
      <c r="A22" s="27">
        <v>43773</v>
      </c>
      <c r="B22" s="26" t="s">
        <v>58</v>
      </c>
      <c r="C22" s="26" t="s">
        <v>44</v>
      </c>
    </row>
    <row r="23" spans="1:3">
      <c r="A23" s="27">
        <v>43792</v>
      </c>
      <c r="B23" s="26" t="s">
        <v>58</v>
      </c>
      <c r="C23" s="26" t="s">
        <v>52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workbookViewId="0">
      <selection activeCell="A5" sqref="A5"/>
    </sheetView>
  </sheetViews>
  <sheetFormatPr defaultRowHeight="13.5"/>
  <sheetData>
    <row r="1" spans="1:1">
      <c r="A1" t="s">
        <v>11</v>
      </c>
    </row>
    <row r="2" spans="1:1">
      <c r="A2" t="s">
        <v>23</v>
      </c>
    </row>
    <row r="3" spans="1:1">
      <c r="A3" t="s">
        <v>12</v>
      </c>
    </row>
    <row r="4" spans="1:1">
      <c r="A4" t="s">
        <v>13</v>
      </c>
    </row>
    <row r="5" spans="1:1">
      <c r="A5" t="s">
        <v>14</v>
      </c>
    </row>
  </sheetData>
  <phoneticPr fontId="5"/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6F6396D31777C46AF86C74FFB5A3FA3" ma:contentTypeVersion="9" ma:contentTypeDescription="新しいドキュメントを作成します。" ma:contentTypeScope="" ma:versionID="fa7b218355c2d8fe36d2d1220b530f82">
  <xsd:schema xmlns:xsd="http://www.w3.org/2001/XMLSchema" xmlns:xs="http://www.w3.org/2001/XMLSchema" xmlns:p="http://schemas.microsoft.com/office/2006/metadata/properties" xmlns:ns2="6067e4e3-4dd0-40f5-92b7-db83453413f4" xmlns:ns3="6ebc5681-97ba-48cc-ab7f-49bb837dee85" targetNamespace="http://schemas.microsoft.com/office/2006/metadata/properties" ma:root="true" ma:fieldsID="740f0f0139c158c55dc7c6dccaf7193e" ns2:_="" ns3:_="">
    <xsd:import namespace="6067e4e3-4dd0-40f5-92b7-db83453413f4"/>
    <xsd:import namespace="6ebc5681-97ba-48cc-ab7f-49bb837dee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67e4e3-4dd0-40f5-92b7-db83453413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c5681-97ba-48cc-ab7f-49bb837dee8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0D9FE63-6AF8-4938-9847-9008BC957D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067e4e3-4dd0-40f5-92b7-db83453413f4"/>
    <ds:schemaRef ds:uri="6ebc5681-97ba-48cc-ab7f-49bb837dee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7688E1-D28D-4530-BC74-CE5E312372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8B54806-DBDD-4F69-8B0D-820075E5D479}">
  <ds:schemaRefs>
    <ds:schemaRef ds:uri="http://purl.org/dc/dcmitype/"/>
    <ds:schemaRef ds:uri="http://schemas.microsoft.com/office/infopath/2007/PartnerControls"/>
    <ds:schemaRef ds:uri="6ebc5681-97ba-48cc-ab7f-49bb837dee85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6067e4e3-4dd0-40f5-92b7-db83453413f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作業報告書</vt:lpstr>
      <vt:lpstr>見本</vt:lpstr>
      <vt:lpstr>祝日</vt:lpstr>
      <vt:lpstr>Sheet1</vt:lpstr>
      <vt:lpstr>見本!Print_Area</vt:lpstr>
      <vt:lpstr>作業報告書!Print_Area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e-ikeda</dc:creator>
  <cp:keywords/>
  <dc:description/>
  <cp:lastModifiedBy>1134600606559</cp:lastModifiedBy>
  <cp:revision/>
  <cp:lastPrinted>2019-06-18T01:37:48Z</cp:lastPrinted>
  <dcterms:created xsi:type="dcterms:W3CDTF">2017-07-11T01:58:17Z</dcterms:created>
  <dcterms:modified xsi:type="dcterms:W3CDTF">2019-09-24T07:00:32Z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0x010100A6F6396D31777C46AF86C74FFB5A3FA3</vt:lpwstr>
  </property>
</Properties>
</file>